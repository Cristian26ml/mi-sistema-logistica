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/>
  <xr:revisionPtr revIDLastSave="0" documentId="8_{46CD1EA4-FA34-4C7C-96E7-5300712F0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" sheetId="1" r:id="rId1"/>
    <sheet name="Clientes" sheetId="3" r:id="rId2"/>
    <sheet name="Facturas - principales" sheetId="2" r:id="rId3"/>
    <sheet name="Detalles de la factura" sheetId="4" r:id="rId4"/>
  </sheets>
  <definedNames>
    <definedName name="CustomerLookup">CustomerList[Búsqueda]</definedName>
    <definedName name="Invoice_No">FacturasPrincipales[N.º de factura]</definedName>
    <definedName name="InvoiceNoDetails">"InvoiceDetails[Invoice No]"</definedName>
    <definedName name="NombreEmpresa">Factura!$C$5</definedName>
    <definedName name="rngInvoice">Factura!$G$9</definedName>
    <definedName name="_xlnm.Print_Titles" localSheetId="1">Clientes!$1:$4</definedName>
    <definedName name="_xlnm.Print_Titles" localSheetId="3">'Detalles de la factura'!$1:$4</definedName>
    <definedName name="_xlnm.Print_Titles" localSheetId="2">'Facturas - principales'!$1:$4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7" i="3" l="1"/>
  <c r="E37" i="1"/>
  <c r="B39" i="1" l="1"/>
  <c r="G34" i="1" a="1"/>
  <c r="G34" i="1" s="1"/>
  <c r="F34" i="1" a="1"/>
  <c r="F34" i="1" s="1"/>
  <c r="E34" i="1" a="1"/>
  <c r="E34" i="1" s="1"/>
  <c r="D34" i="1" a="1"/>
  <c r="D34" i="1" s="1"/>
  <c r="B34" i="1" a="1"/>
  <c r="B34" i="1" s="1"/>
  <c r="G33" i="1" a="1"/>
  <c r="G33" i="1" s="1"/>
  <c r="F33" i="1" a="1"/>
  <c r="F33" i="1" s="1"/>
  <c r="E33" i="1" a="1"/>
  <c r="E33" i="1" s="1"/>
  <c r="D33" i="1" a="1"/>
  <c r="D33" i="1" s="1"/>
  <c r="B33" i="1" a="1"/>
  <c r="B33" i="1" s="1"/>
  <c r="G32" i="1" a="1"/>
  <c r="G32" i="1" s="1"/>
  <c r="F32" i="1" a="1"/>
  <c r="F32" i="1" s="1"/>
  <c r="E32" i="1" a="1"/>
  <c r="E32" i="1" s="1"/>
  <c r="D32" i="1" a="1"/>
  <c r="D32" i="1" s="1"/>
  <c r="B32" i="1" a="1"/>
  <c r="B32" i="1" s="1"/>
  <c r="G31" i="1" a="1"/>
  <c r="G31" i="1" s="1"/>
  <c r="F31" i="1" a="1"/>
  <c r="F31" i="1" s="1"/>
  <c r="E31" i="1" a="1"/>
  <c r="E31" i="1" s="1"/>
  <c r="D31" i="1" a="1"/>
  <c r="D31" i="1" s="1"/>
  <c r="B31" i="1" a="1"/>
  <c r="B31" i="1" s="1"/>
  <c r="G30" i="1" a="1"/>
  <c r="G30" i="1" s="1"/>
  <c r="F30" i="1" a="1"/>
  <c r="F30" i="1" s="1"/>
  <c r="E30" i="1" a="1"/>
  <c r="E30" i="1" s="1"/>
  <c r="D30" i="1" a="1"/>
  <c r="D30" i="1" s="1"/>
  <c r="B30" i="1" a="1"/>
  <c r="B30" i="1" s="1"/>
  <c r="G29" i="1" a="1"/>
  <c r="G29" i="1" s="1"/>
  <c r="F29" i="1" a="1"/>
  <c r="F29" i="1" s="1"/>
  <c r="E29" i="1" a="1"/>
  <c r="E29" i="1" s="1"/>
  <c r="D29" i="1" a="1"/>
  <c r="D29" i="1" s="1"/>
  <c r="B29" i="1" a="1"/>
  <c r="B29" i="1" s="1"/>
  <c r="G28" i="1" a="1"/>
  <c r="G28" i="1" s="1"/>
  <c r="F28" i="1" a="1"/>
  <c r="F28" i="1" s="1"/>
  <c r="E28" i="1" a="1"/>
  <c r="E28" i="1" s="1"/>
  <c r="D28" i="1" a="1"/>
  <c r="D28" i="1" s="1"/>
  <c r="B28" i="1" a="1"/>
  <c r="B28" i="1" s="1"/>
  <c r="G27" i="1" a="1"/>
  <c r="G27" i="1" s="1"/>
  <c r="F27" i="1" a="1"/>
  <c r="F27" i="1" s="1"/>
  <c r="E27" i="1" a="1"/>
  <c r="E27" i="1" s="1"/>
  <c r="D27" i="1" a="1"/>
  <c r="D27" i="1" s="1"/>
  <c r="B27" i="1" a="1"/>
  <c r="B27" i="1" s="1"/>
  <c r="G26" i="1" a="1"/>
  <c r="G26" i="1" s="1"/>
  <c r="F26" i="1" a="1"/>
  <c r="F26" i="1" s="1"/>
  <c r="E26" i="1" a="1"/>
  <c r="E26" i="1" s="1"/>
  <c r="D26" i="1" a="1"/>
  <c r="D26" i="1" s="1"/>
  <c r="B26" i="1" a="1"/>
  <c r="B26" i="1" s="1"/>
  <c r="G25" i="1" a="1"/>
  <c r="G25" i="1" s="1"/>
  <c r="F25" i="1" a="1"/>
  <c r="F25" i="1" s="1"/>
  <c r="E25" i="1" a="1"/>
  <c r="E25" i="1" s="1"/>
  <c r="B25" i="1" a="1"/>
  <c r="B25" i="1" s="1"/>
  <c r="G24" i="1" a="1"/>
  <c r="G24" i="1" s="1"/>
  <c r="F24" i="1" a="1"/>
  <c r="F24" i="1" s="1"/>
  <c r="E24" i="1" a="1"/>
  <c r="E24" i="1" s="1"/>
  <c r="B24" i="1" a="1"/>
  <c r="B24" i="1" s="1"/>
  <c r="G23" i="1" a="1"/>
  <c r="G23" i="1" s="1"/>
  <c r="F23" i="1" a="1"/>
  <c r="F23" i="1" s="1"/>
  <c r="E23" i="1" a="1"/>
  <c r="E23" i="1" s="1"/>
  <c r="B23" i="1" a="1"/>
  <c r="B23" i="1" s="1"/>
  <c r="G22" i="1" a="1"/>
  <c r="G22" i="1" s="1"/>
  <c r="F22" i="1" a="1"/>
  <c r="F22" i="1" s="1"/>
  <c r="E22" i="1" a="1"/>
  <c r="E22" i="1" s="1"/>
  <c r="B22" i="1" a="1"/>
  <c r="B22" i="1" s="1"/>
  <c r="G21" i="1" a="1"/>
  <c r="G21" i="1" s="1"/>
  <c r="F21" i="1" a="1"/>
  <c r="F21" i="1" s="1"/>
  <c r="E21" i="1" a="1"/>
  <c r="E21" i="1" s="1"/>
  <c r="B21" i="1" a="1"/>
  <c r="B21" i="1" s="1"/>
  <c r="G20" i="1" a="1"/>
  <c r="G20" i="1" s="1"/>
  <c r="F20" i="1" a="1"/>
  <c r="F20" i="1" s="1"/>
  <c r="E20" i="1" a="1"/>
  <c r="E20" i="1" s="1"/>
  <c r="B20" i="1" a="1"/>
  <c r="B20" i="1" s="1"/>
  <c r="G19" i="1" a="1"/>
  <c r="G19" i="1" s="1"/>
  <c r="F19" i="1" a="1"/>
  <c r="F19" i="1" s="1"/>
  <c r="E19" i="1" a="1"/>
  <c r="E19" i="1" s="1"/>
  <c r="B19" i="1" a="1"/>
  <c r="B19" i="1" s="1"/>
  <c r="G18" i="1" a="1"/>
  <c r="G18" i="1" s="1"/>
  <c r="F18" i="1" a="1"/>
  <c r="F18" i="1" s="1"/>
  <c r="E18" i="1" a="1"/>
  <c r="E18" i="1" s="1"/>
  <c r="B18" i="1" a="1"/>
  <c r="B18" i="1" s="1"/>
  <c r="G17" i="1" a="1"/>
  <c r="G17" i="1" s="1"/>
  <c r="F17" i="1" a="1"/>
  <c r="F17" i="1" s="1"/>
  <c r="E17" i="1" a="1"/>
  <c r="E17" i="1" s="1"/>
  <c r="B17" i="1" a="1"/>
  <c r="B17" i="1" s="1"/>
  <c r="G16" i="1" a="1"/>
  <c r="G16" i="1" s="1"/>
  <c r="F16" i="1" a="1"/>
  <c r="F16" i="1" s="1"/>
  <c r="E16" i="1" a="1"/>
  <c r="E16" i="1" s="1"/>
  <c r="B16" i="1" a="1"/>
  <c r="B16" i="1" s="1"/>
  <c r="G15" i="1" a="1"/>
  <c r="G15" i="1" s="1"/>
  <c r="F15" i="1" a="1"/>
  <c r="F15" i="1" s="1"/>
  <c r="E15" i="1" a="1"/>
  <c r="E15" i="1" s="1"/>
  <c r="B15" i="1" a="1"/>
  <c r="B15" i="1" s="1"/>
  <c r="G39" i="1" l="1"/>
  <c r="G38" i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I6" i="2" l="1"/>
  <c r="I5" i="2"/>
  <c r="H27" i="1"/>
  <c r="H31" i="1"/>
  <c r="H19" i="1"/>
  <c r="H22" i="1"/>
  <c r="H23" i="1"/>
  <c r="H24" i="1"/>
  <c r="H32" i="1"/>
  <c r="H26" i="1"/>
  <c r="H34" i="1"/>
  <c r="H30" i="1"/>
  <c r="H20" i="1"/>
  <c r="H28" i="1"/>
  <c r="H17" i="1"/>
  <c r="H21" i="1"/>
  <c r="H29" i="1"/>
  <c r="H16" i="1"/>
  <c r="H18" i="1"/>
  <c r="H25" i="1"/>
  <c r="H33" i="1"/>
  <c r="D6" i="2" l="1"/>
  <c r="D5" i="2"/>
  <c r="G10" i="1" l="1"/>
  <c r="G7" i="2" l="1"/>
  <c r="H7" i="2"/>
  <c r="J6" i="2" l="1"/>
  <c r="I7" i="2" l="1"/>
  <c r="J5" i="2"/>
  <c r="J7" i="2" s="1"/>
  <c r="H15" i="1" l="1"/>
  <c r="G36" i="1" l="1"/>
  <c r="G37" i="1" s="1"/>
  <c r="B6" i="3"/>
  <c r="B5" i="3"/>
  <c r="D10" i="1" l="1"/>
  <c r="G40" i="1"/>
  <c r="D11" i="1"/>
  <c r="C10" i="1"/>
  <c r="C9" i="1"/>
  <c r="D9" i="1"/>
  <c r="C11" i="1"/>
</calcChain>
</file>

<file path=xl/sharedStrings.xml><?xml version="1.0" encoding="utf-8"?>
<sst xmlns="http://schemas.openxmlformats.org/spreadsheetml/2006/main" count="164" uniqueCount="120">
  <si>
    <t xml:space="preserve">FACTURAR A </t>
  </si>
  <si>
    <t>Total a pagar en &lt;#&gt; días. Cuentas vencidas sujetas a un cargo por servicios de &lt;#&gt;% al mes.</t>
  </si>
  <si>
    <t>¡Gracias por su confianza!</t>
  </si>
  <si>
    <t>NOMBRE DE SU EMPRESA</t>
  </si>
  <si>
    <t xml:space="preserve"> Dirección de calle</t>
  </si>
  <si>
    <t xml:space="preserve"> Ciudad, provincia, código postal</t>
  </si>
  <si>
    <t>Descripción</t>
  </si>
  <si>
    <t>¿Está cansado de hacer las facturas manualmente? ¿Quiere recibir el pago con anterioridad? Suscríbase hoy a Microsoft Invoicing</t>
  </si>
  <si>
    <t>Cant.</t>
  </si>
  <si>
    <t>Precio por unidad</t>
  </si>
  <si>
    <t>Subtotal de la factura</t>
  </si>
  <si>
    <t>Otros</t>
  </si>
  <si>
    <t>Depósito recibido</t>
  </si>
  <si>
    <t>TOTAL</t>
  </si>
  <si>
    <t>Nº DE FACTURA</t>
  </si>
  <si>
    <t>Fecha de la factura:</t>
  </si>
  <si>
    <t>Descuento</t>
  </si>
  <si>
    <t>3-456-2</t>
  </si>
  <si>
    <t>Precio</t>
  </si>
  <si>
    <t xml:space="preserve"> </t>
  </si>
  <si>
    <t>Búsqueda</t>
  </si>
  <si>
    <t>Total</t>
  </si>
  <si>
    <t>Nº de compañía</t>
  </si>
  <si>
    <t>Nombre de la empresa</t>
  </si>
  <si>
    <t xml:space="preserve">Tailspin Toys </t>
  </si>
  <si>
    <t>Contoso, Ltd</t>
  </si>
  <si>
    <t>Nombre de contacto</t>
  </si>
  <si>
    <t>Mirjam Nilsson</t>
  </si>
  <si>
    <t>Angelica Astrom</t>
  </si>
  <si>
    <t>Dirección</t>
  </si>
  <si>
    <t>345 Cherry Street</t>
  </si>
  <si>
    <t>567 Walnut Lane</t>
  </si>
  <si>
    <t>Ciudad</t>
  </si>
  <si>
    <t>Albany</t>
  </si>
  <si>
    <t>Moline</t>
  </si>
  <si>
    <t>Provincia</t>
  </si>
  <si>
    <t>SD</t>
  </si>
  <si>
    <t>MO</t>
  </si>
  <si>
    <t>Código postal</t>
  </si>
  <si>
    <t>Teléfono</t>
  </si>
  <si>
    <t>432-555-0178</t>
  </si>
  <si>
    <t>432-555-0189</t>
  </si>
  <si>
    <t>Correo electrónico</t>
  </si>
  <si>
    <t>alguien@example.com</t>
  </si>
  <si>
    <t>Fax</t>
  </si>
  <si>
    <t>432-555-0187</t>
  </si>
  <si>
    <t>432-555-0123</t>
  </si>
  <si>
    <t>3-456-1</t>
  </si>
  <si>
    <t>Empresa</t>
  </si>
  <si>
    <t xml:space="preserve">1 - Tailspin Toys </t>
  </si>
  <si>
    <t>2 - Contoso, Ltd</t>
  </si>
  <si>
    <t>Fecha de la factura</t>
  </si>
  <si>
    <t>Descripción del proyecto</t>
  </si>
  <si>
    <t>Proyecto 1</t>
  </si>
  <si>
    <t>Proyecto 2</t>
  </si>
  <si>
    <t>Tipo de impuesto</t>
  </si>
  <si>
    <t>Totales:</t>
  </si>
  <si>
    <t>Depósito</t>
  </si>
  <si>
    <t>Total de detalles</t>
  </si>
  <si>
    <t>Total de la factura</t>
  </si>
  <si>
    <t>Notas</t>
  </si>
  <si>
    <t>Factura 3-456-1 Datos 1</t>
  </si>
  <si>
    <t>Factura 3-456-1 Datos 2</t>
  </si>
  <si>
    <t>Factura 3-456-1 Datos 3</t>
  </si>
  <si>
    <t>Factura 3-456-1 Datos 4</t>
  </si>
  <si>
    <t>Factura 3-456-1 Datos 5</t>
  </si>
  <si>
    <t>Factura 3-456-1 Datos 6</t>
  </si>
  <si>
    <t>Factura 3-456-1 Datos 7</t>
  </si>
  <si>
    <t>Factura 3-456-1 Datos 8</t>
  </si>
  <si>
    <t>Factura 3-456-1 Datos 9</t>
  </si>
  <si>
    <t>Factura 3-456-1 Datos 10</t>
  </si>
  <si>
    <t>Factura 3-456-1 Datos 11</t>
  </si>
  <si>
    <t>Factura 3-456-1 Datos 12</t>
  </si>
  <si>
    <t>Factura 3-456-1 Datos 13</t>
  </si>
  <si>
    <t>Factura 3-456-1 Datos 14</t>
  </si>
  <si>
    <t>Factura 3-456-1 Datos 15</t>
  </si>
  <si>
    <t>Factura 3-456-1 Datos 16</t>
  </si>
  <si>
    <t>Factura 3-456-1 Datos 17</t>
  </si>
  <si>
    <t>Factura 3-456-1 Datos 18</t>
  </si>
  <si>
    <t>Factura 3-456-1 Datos 19</t>
  </si>
  <si>
    <t>Factura 3-456-1 Datos 20</t>
  </si>
  <si>
    <t>Factura 3-456-2 Datos 1</t>
  </si>
  <si>
    <t>Factura 3-456-2 Datos 2</t>
  </si>
  <si>
    <t>Factura 3-456-2 Datos 3</t>
  </si>
  <si>
    <t>Factura 3-456-2 Datos 4</t>
  </si>
  <si>
    <t>Factura 3-456-2 Datos 5</t>
  </si>
  <si>
    <t>Factura 3-456-2 Datos 6</t>
  </si>
  <si>
    <t>Factura 3-456-2 Datos 7</t>
  </si>
  <si>
    <t>Factura 3-456-2 Datos 8</t>
  </si>
  <si>
    <t>Factura 3-456-2 Datos 9</t>
  </si>
  <si>
    <t>Factura 3-456-2 Datos 10</t>
  </si>
  <si>
    <t>Factura 3-456-2 Datos 11</t>
  </si>
  <si>
    <t>Factura 3-456-2 Datos 12</t>
  </si>
  <si>
    <t>N.º de factura</t>
  </si>
  <si>
    <t>Z4567</t>
  </si>
  <si>
    <t>Z4568</t>
  </si>
  <si>
    <t>Z4569</t>
  </si>
  <si>
    <t>Z4570</t>
  </si>
  <si>
    <t>Z4571</t>
  </si>
  <si>
    <t>Z4572</t>
  </si>
  <si>
    <t>Z4573</t>
  </si>
  <si>
    <t>Z4574</t>
  </si>
  <si>
    <t>Z4575</t>
  </si>
  <si>
    <t>Z4576</t>
  </si>
  <si>
    <t>Z4577</t>
  </si>
  <si>
    <t>Z4578</t>
  </si>
  <si>
    <t>sku</t>
  </si>
  <si>
    <t>Royal Canin Mini Adulto 1Kg</t>
  </si>
  <si>
    <t>Royal Canin Miniature Schnauzer 3Kg</t>
  </si>
  <si>
    <t>Royal Canin Poodle 1Kg</t>
  </si>
  <si>
    <t>Maxi Starter Mother &amp; Babydog 10kg</t>
  </si>
  <si>
    <t>Royal Canin Mini Dermacomfort 3kg</t>
  </si>
  <si>
    <t>Royal Canin Medium Adulto 2.5Kg</t>
  </si>
  <si>
    <t>Royal Canin Yorkshire Junior 1 kg</t>
  </si>
  <si>
    <t>Royal Canin Mini Puppy 7.5Kg</t>
  </si>
  <si>
    <t>Royal Canin Felino Growth Kitten 400 grs</t>
  </si>
  <si>
    <t>Royal Canin Kitten Sterilised 1.5 kg</t>
  </si>
  <si>
    <t>Royal Canin Felino Growth Kitten 4 kg</t>
  </si>
  <si>
    <t>codigo_barra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</si>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</sst>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\ &quot;€&quot;;\-#,##0.00\ &quot;€&quot;"/>
    <numFmt numFmtId="165" formatCode="00000"/>
    <numFmt numFmtId="166" formatCode="_)@\ \ "/>
    <numFmt numFmtId="167" formatCode="[&lt;=9999999]###\-####;\(###\)\ ###\-####"/>
    <numFmt numFmtId="168" formatCode="#,##0.00\ &quot;€&quot;"/>
  </numFmts>
  <fonts count="31">
    <font>
      <sz val="11"/>
      <color theme="2" tint="-0.749961851863155"/>
      <name val="Franklin Gothic Book"/>
      <family val="2"/>
      <scheme val="minor"/>
    </font>
    <font>
      <b/>
      <sz val="10"/>
      <name val="Arial"/>
      <family val="2"/>
    </font>
    <font>
      <sz val="10"/>
      <name val="Franklin Gothic Book"/>
      <family val="2"/>
      <scheme val="minor"/>
    </font>
    <font>
      <sz val="14"/>
      <color theme="4" tint="-0.24994659260841701"/>
      <name val="Calibri"/>
      <family val="2"/>
    </font>
    <font>
      <b/>
      <sz val="25"/>
      <color theme="0"/>
      <name val="Verdana"/>
      <family val="2"/>
      <scheme val="major"/>
    </font>
    <font>
      <sz val="11"/>
      <color theme="2" tint="-0.89996032593768116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5" tint="-0.24994659260841701"/>
      <name val="Franklin Gothic Book"/>
      <family val="2"/>
      <scheme val="minor"/>
    </font>
    <font>
      <sz val="14"/>
      <color theme="4" tint="-0.24994659260841701"/>
      <name val="Verdana"/>
      <family val="2"/>
      <scheme val="major"/>
    </font>
    <font>
      <sz val="12"/>
      <color theme="4" tint="-0.499984740745262"/>
      <name val="Verdana"/>
      <family val="2"/>
      <scheme val="major"/>
    </font>
    <font>
      <sz val="11"/>
      <color theme="4" tint="-0.24994659260841701"/>
      <name val="Franklin Gothic Book"/>
      <family val="2"/>
      <scheme val="minor"/>
    </font>
    <font>
      <sz val="11"/>
      <color theme="1" tint="0.14993743705557422"/>
      <name val="Franklin Gothic Book"/>
      <family val="2"/>
      <scheme val="minor"/>
    </font>
    <font>
      <sz val="11"/>
      <color theme="2" tint="-0.89989928891872917"/>
      <name val="Franklin Gothic Book"/>
      <family val="2"/>
      <scheme val="minor"/>
    </font>
    <font>
      <sz val="11"/>
      <color theme="4" tint="-0.24994659260841701"/>
      <name val="Verdana"/>
      <family val="2"/>
      <scheme val="major"/>
    </font>
    <font>
      <sz val="11"/>
      <color theme="0"/>
      <name val="Franklin Gothic Book"/>
      <family val="2"/>
      <scheme val="minor"/>
    </font>
    <font>
      <sz val="10"/>
      <color theme="0"/>
      <name val="Verdana"/>
      <family val="2"/>
      <scheme val="major"/>
    </font>
    <font>
      <sz val="11"/>
      <color theme="1" tint="0.14999847407452621"/>
      <name val="Franklin Gothic Book"/>
      <family val="2"/>
      <scheme val="minor"/>
    </font>
    <font>
      <sz val="26"/>
      <color theme="6" tint="-0.499984740745262"/>
      <name val="Verdana"/>
      <family val="2"/>
      <scheme val="major"/>
    </font>
    <font>
      <sz val="11"/>
      <color theme="6" tint="-0.499984740745262"/>
      <name val="Verdana"/>
      <family val="2"/>
      <scheme val="major"/>
    </font>
    <font>
      <sz val="10"/>
      <color theme="1" tint="0.14999847407452621"/>
      <name val="Franklin Gothic Book"/>
      <family val="2"/>
      <scheme val="minor"/>
    </font>
    <font>
      <sz val="9"/>
      <color theme="1" tint="0.14999847407452621"/>
      <name val="Franklin Gothic Book"/>
      <family val="2"/>
      <scheme val="minor"/>
    </font>
    <font>
      <sz val="12"/>
      <color theme="1" tint="0.14999847407452621"/>
      <name val="Franklin Gothic Book"/>
      <family val="2"/>
      <scheme val="minor"/>
    </font>
    <font>
      <sz val="9"/>
      <color theme="0"/>
      <name val="Verdana"/>
      <family val="2"/>
      <scheme val="major"/>
    </font>
    <font>
      <sz val="16"/>
      <color theme="6" tint="-0.499984740745262"/>
      <name val="Verdana"/>
      <family val="2"/>
      <scheme val="major"/>
    </font>
    <font>
      <sz val="14"/>
      <color theme="6" tint="-0.499984740745262"/>
      <name val="Verdana"/>
      <family val="2"/>
      <scheme val="major"/>
    </font>
    <font>
      <sz val="14"/>
      <color theme="1" tint="0.14999847407452621"/>
      <name val="Verdana"/>
      <family val="2"/>
      <scheme val="major"/>
    </font>
    <font>
      <sz val="14"/>
      <color theme="0"/>
      <name val="Verdana"/>
      <family val="2"/>
      <scheme val="major"/>
    </font>
    <font>
      <sz val="12"/>
      <color theme="0"/>
      <name val="Verdana"/>
      <family val="2"/>
      <scheme val="major"/>
    </font>
    <font>
      <b/>
      <u/>
      <sz val="9"/>
      <color rgb="FF0070C0"/>
      <name val="Franklin Gothic Book"/>
      <family val="2"/>
      <scheme val="minor"/>
    </font>
    <font>
      <sz val="9"/>
      <name val="Franklin Gothic Book"/>
      <family val="3"/>
      <charset val="134"/>
      <scheme val="minor"/>
    </font>
    <font>
      <sz val="10"/>
      <color rgb="FF5D5D5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6" tint="-0.24994659260841701"/>
      </left>
      <right/>
      <top style="thick">
        <color theme="6" tint="-0.24994659260841701"/>
      </top>
      <bottom style="thin">
        <color theme="6" tint="-0.24994659260841701"/>
      </bottom>
      <diagonal/>
    </border>
    <border>
      <left/>
      <right/>
      <top style="thick">
        <color theme="6" tint="-0.24994659260841701"/>
      </top>
      <bottom style="thin">
        <color theme="6" tint="-0.24994659260841701"/>
      </bottom>
      <diagonal/>
    </border>
    <border>
      <left/>
      <right/>
      <top style="thick">
        <color theme="6" tint="-0.24994659260841701"/>
      </top>
      <bottom style="thick">
        <color theme="6" tint="-0.24994659260841701"/>
      </bottom>
      <diagonal/>
    </border>
    <border>
      <left/>
      <right style="medium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</borders>
  <cellStyleXfs count="13">
    <xf numFmtId="0" fontId="0" fillId="0" borderId="0" applyNumberFormat="0" applyFill="0" applyBorder="0">
      <alignment vertical="top" wrapText="1"/>
    </xf>
    <xf numFmtId="49" fontId="11" fillId="0" borderId="0" applyFill="0" applyBorder="0" applyAlignment="0" applyProtection="0"/>
    <xf numFmtId="0" fontId="9" fillId="0" borderId="0" applyNumberFormat="0" applyFill="0" applyBorder="0" applyProtection="0">
      <alignment vertical="center"/>
    </xf>
    <xf numFmtId="0" fontId="3" fillId="0" borderId="0" applyNumberFormat="0" applyFill="0" applyBorder="0" applyAlignment="0" applyProtection="0"/>
    <xf numFmtId="10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0" fontId="4" fillId="3" borderId="2" applyNumberFormat="0" applyAlignment="0" applyProtection="0"/>
    <xf numFmtId="0" fontId="5" fillId="2" borderId="0" applyNumberFormat="0" applyBorder="0" applyAlignment="0" applyProtection="0"/>
    <xf numFmtId="0" fontId="8" fillId="0" borderId="0" applyFill="0" applyBorder="0" applyProtection="0">
      <alignment horizontal="left" vertical="center"/>
    </xf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" fillId="0" borderId="1" applyNumberFormat="0" applyAlignment="0" applyProtection="0"/>
    <xf numFmtId="0" fontId="13" fillId="0" borderId="0" applyFill="0" applyBorder="0" applyProtection="0">
      <alignment horizontal="left" vertical="center"/>
    </xf>
  </cellStyleXfs>
  <cellXfs count="92">
    <xf numFmtId="0" fontId="0" fillId="0" borderId="0" xfId="0">
      <alignment vertical="top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6" fillId="0" borderId="0" xfId="0" applyNumberFormat="1" applyFont="1" applyAlignment="1">
      <alignment horizontal="left" vertical="center" wrapText="1"/>
    </xf>
    <xf numFmtId="165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6" fillId="0" borderId="0" xfId="7" applyFont="1" applyFill="1" applyAlignment="1">
      <alignment horizontal="center" vertical="center"/>
    </xf>
    <xf numFmtId="0" fontId="16" fillId="0" borderId="0" xfId="7" applyFont="1" applyFill="1" applyAlignment="1">
      <alignment horizontal="center" vertical="center" wrapText="1"/>
    </xf>
    <xf numFmtId="0" fontId="16" fillId="0" borderId="0" xfId="7" applyFont="1" applyFill="1" applyAlignment="1">
      <alignment vertical="center" wrapText="1"/>
    </xf>
    <xf numFmtId="0" fontId="17" fillId="0" borderId="0" xfId="6" applyFont="1" applyFill="1" applyBorder="1" applyAlignment="1">
      <alignment horizontal="center" vertical="center"/>
    </xf>
    <xf numFmtId="0" fontId="17" fillId="0" borderId="0" xfId="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7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0" fillId="0" borderId="0" xfId="0" applyAlignment="1">
      <alignment horizontal="left" vertical="center" indent="1"/>
    </xf>
    <xf numFmtId="14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 applyProtection="1">
      <alignment horizontal="center" vertical="center" wrapText="1"/>
      <protection locked="0"/>
    </xf>
    <xf numFmtId="0" fontId="15" fillId="6" borderId="4" xfId="12" applyFont="1" applyFill="1" applyBorder="1" applyAlignment="1">
      <alignment horizontal="center" vertical="center"/>
    </xf>
    <xf numFmtId="0" fontId="15" fillId="6" borderId="5" xfId="12" applyFont="1" applyFill="1" applyBorder="1" applyAlignment="1">
      <alignment horizontal="center" vertical="center"/>
    </xf>
    <xf numFmtId="0" fontId="16" fillId="0" borderId="0" xfId="10" applyFont="1" applyAlignment="1">
      <alignment vertical="center"/>
    </xf>
    <xf numFmtId="0" fontId="16" fillId="0" borderId="0" xfId="10" applyFont="1" applyAlignment="1">
      <alignment vertical="center" wrapText="1"/>
    </xf>
    <xf numFmtId="0" fontId="16" fillId="0" borderId="3" xfId="10" applyFont="1" applyBorder="1" applyAlignment="1">
      <alignment vertical="top" wrapText="1"/>
    </xf>
    <xf numFmtId="0" fontId="17" fillId="6" borderId="0" xfId="0" applyFont="1" applyFill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3" xfId="12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left" vertical="center"/>
    </xf>
    <xf numFmtId="0" fontId="17" fillId="6" borderId="7" xfId="0" applyFont="1" applyFill="1" applyBorder="1" applyAlignment="1">
      <alignment horizontal="left" vertical="center" indent="1"/>
    </xf>
    <xf numFmtId="0" fontId="17" fillId="6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7" fillId="6" borderId="8" xfId="0" applyFont="1" applyFill="1" applyBorder="1" applyAlignment="1">
      <alignment horizontal="left" vertical="center"/>
    </xf>
    <xf numFmtId="0" fontId="17" fillId="6" borderId="8" xfId="0" applyFont="1" applyFill="1" applyBorder="1" applyAlignment="1">
      <alignment horizontal="left" vertical="center" indent="1"/>
    </xf>
    <xf numFmtId="0" fontId="17" fillId="6" borderId="8" xfId="0" applyFont="1" applyFill="1" applyBorder="1" applyAlignment="1">
      <alignment horizontal="center" vertical="center"/>
    </xf>
    <xf numFmtId="0" fontId="15" fillId="6" borderId="9" xfId="8" applyFont="1" applyFill="1" applyBorder="1" applyAlignment="1">
      <alignment horizontal="center" vertical="center"/>
    </xf>
    <xf numFmtId="0" fontId="15" fillId="6" borderId="10" xfId="8" applyFont="1" applyFill="1" applyBorder="1" applyAlignment="1">
      <alignment horizontal="center" vertical="center"/>
    </xf>
    <xf numFmtId="0" fontId="15" fillId="4" borderId="11" xfId="8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14" fillId="6" borderId="16" xfId="0" applyNumberFormat="1" applyFont="1" applyFill="1" applyBorder="1" applyAlignment="1">
      <alignment horizontal="center" vertical="center"/>
    </xf>
    <xf numFmtId="164" fontId="14" fillId="6" borderId="19" xfId="0" applyNumberFormat="1" applyFont="1" applyFill="1" applyBorder="1" applyAlignment="1">
      <alignment horizontal="center" vertical="center"/>
    </xf>
    <xf numFmtId="164" fontId="27" fillId="4" borderId="2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 indent="1"/>
    </xf>
    <xf numFmtId="10" fontId="16" fillId="0" borderId="0" xfId="4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" fontId="15" fillId="6" borderId="9" xfId="8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0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4" fillId="0" borderId="0" xfId="6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21" fillId="0" borderId="0" xfId="2" applyFont="1" applyAlignment="1">
      <alignment horizontal="center"/>
    </xf>
    <xf numFmtId="0" fontId="16" fillId="0" borderId="0" xfId="10" applyFont="1" applyAlignment="1">
      <alignment horizontal="center" vertical="center" wrapText="1"/>
    </xf>
    <xf numFmtId="49" fontId="28" fillId="0" borderId="0" xfId="1" applyFont="1" applyAlignment="1">
      <alignment horizontal="left" vertical="center" wrapText="1"/>
    </xf>
    <xf numFmtId="0" fontId="16" fillId="0" borderId="0" xfId="7" applyFont="1" applyFill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6" fillId="6" borderId="20" xfId="0" applyFont="1" applyFill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center" vertical="center" wrapText="1"/>
    </xf>
    <xf numFmtId="0" fontId="16" fillId="0" borderId="0" xfId="10" applyFont="1" applyAlignment="1">
      <alignment horizontal="left" vertical="top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</cellXfs>
  <cellStyles count="13">
    <cellStyle name="60% - Énfasis1" xfId="7" builtinId="32" customBuiltin="1"/>
    <cellStyle name="Encabezado 1" xfId="2" builtinId="16" customBuiltin="1"/>
    <cellStyle name="Encabezado 4" xfId="12" builtinId="19" customBuiltin="1"/>
    <cellStyle name="Hipervínculo" xfId="1" builtinId="8" customBuiltin="1"/>
    <cellStyle name="Hipervínculo visitado" xfId="5" builtinId="9" customBuiltin="1"/>
    <cellStyle name="Normal" xfId="0" builtinId="0" customBuiltin="1"/>
    <cellStyle name="Porcentaje" xfId="4" builtinId="5" customBuiltin="1"/>
    <cellStyle name="Texto de advertencia" xfId="9" builtinId="11" customBuiltin="1"/>
    <cellStyle name="Texto explicativo" xfId="10" builtinId="53" customBuiltin="1"/>
    <cellStyle name="Título" xfId="6" builtinId="15" customBuiltin="1"/>
    <cellStyle name="Título 2" xfId="3" builtinId="17" customBuiltin="1"/>
    <cellStyle name="Título 3" xfId="8" builtinId="18" customBuiltin="1"/>
    <cellStyle name="Total" xfId="11" builtinId="25" customBuiltin="1"/>
  </cellStyles>
  <dxfs count="8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color theme="1" tint="0.14999847407452621"/>
      </font>
      <numFmt numFmtId="168" formatCode="#,##0.00\ &quot;€&quot;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numFmt numFmtId="168" formatCode="#,##0.00\ &quot;€&quot;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numFmt numFmtId="168" formatCode="#,##0.00\ &quot;€&quot;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numFmt numFmtId="164" formatCode="#,##0.00\ &quot;€&quot;;\-#,##0.00\ &quot;€&quot;"/>
      <alignment horizontal="center" vertical="center" textRotation="0" wrapText="1" indent="0" justifyLastLine="0" shrinkToFit="0" readingOrder="0"/>
    </dxf>
    <dxf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numFmt numFmtId="164" formatCode="#,##0.00\ &quot;€&quot;;\-#,##0.00\ &quot;€&quot;"/>
      <alignment horizontal="center" vertical="center" textRotation="0" wrapText="1" indent="0" justifyLastLine="0" shrinkToFit="0" readingOrder="0"/>
    </dxf>
    <dxf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numFmt numFmtId="164" formatCode="#,##0.00\ &quot;€&quot;;\-#,##0.00\ &quot;€&quot;"/>
      <alignment horizontal="center" vertical="center" textRotation="0" wrapText="1" indent="0" justifyLastLine="0" shrinkToFit="0" readingOrder="0"/>
    </dxf>
    <dxf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numFmt numFmtId="164" formatCode="#,##0.00\ &quot;€&quot;;\-#,##0.00\ &quot;€&quot;"/>
      <alignment horizontal="center" vertical="center" textRotation="0" wrapText="1" indent="0" justifyLastLine="0" shrinkToFit="0" readingOrder="0"/>
    </dxf>
    <dxf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Verdana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1" justifyLastLine="0" shrinkToFit="0" readingOrder="0"/>
    </dxf>
    <dxf>
      <numFmt numFmtId="167" formatCode="[&lt;=9999999]###\-####;\(###\)\ ###\-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1" justifyLastLine="0" shrinkToFit="0" readingOrder="0"/>
    </dxf>
    <dxf>
      <numFmt numFmtId="167" formatCode="[&lt;=9999999]###\-####;\(###\)\ ###\-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Verdana"/>
        <family val="2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Verdana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Verdana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Franklin Gothic Book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theme="0"/>
        </left>
        <right/>
        <top/>
        <bottom/>
      </border>
    </dxf>
    <dxf>
      <font>
        <b val="0"/>
      </font>
      <numFmt numFmtId="164" formatCode="#,##0.00\ &quot;€&quot;;\-#,##0.00\ &quot;€&quot;"/>
      <fill>
        <patternFill patternType="none">
          <fgColor indexed="64"/>
          <bgColor auto="1"/>
        </patternFill>
      </fill>
      <border diagonalUp="0" diagonalDown="0">
        <left style="medium">
          <color theme="0"/>
        </left>
        <right/>
        <top/>
        <bottom/>
        <vertical/>
        <horizontal/>
      </border>
    </dxf>
    <dxf>
      <border diagonalUp="0" diagonalDown="0" outline="0">
        <left/>
        <right style="thick">
          <color theme="0"/>
        </right>
        <top/>
        <bottom/>
      </border>
    </dxf>
    <dxf>
      <numFmt numFmtId="164" formatCode="#,##0.00\ &quot;€&quot;;\-#,##0.00\ &quot;€&quot;"/>
      <border>
        <right style="thick">
          <color theme="0"/>
        </right>
      </border>
    </dxf>
    <dxf>
      <numFmt numFmtId="164" formatCode="#,##0.00\ &quot;€&quot;;\-#,##0.00\ &quot;€&quot;"/>
    </dxf>
    <dxf>
      <numFmt numFmtId="0" formatCode="General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border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 val="0"/>
        <i val="0"/>
        <color theme="9" tint="-0.249977111117893"/>
      </font>
      <border>
        <top style="thin">
          <color theme="9"/>
        </top>
      </border>
    </dxf>
    <dxf>
      <font>
        <color theme="0"/>
      </font>
      <fill>
        <patternFill>
          <bgColor theme="6" tint="-0.49998474074526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14996795556505021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theme="9" tint="0.79995117038483843"/>
          <bgColor theme="0" tint="-4.9989318521683403E-2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 val="0"/>
        <i val="0"/>
        <color theme="9" tint="-0.249977111117893"/>
      </font>
      <border>
        <top style="thin">
          <color theme="9"/>
        </top>
      </border>
    </dxf>
    <dxf>
      <font>
        <color theme="0"/>
      </font>
      <fill>
        <patternFill>
          <bgColor theme="6" tint="-0.49998474074526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14996795556505021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3" defaultTableStyle="Tabla de factura de ventas" defaultPivotStyle="PivotStyleLight16">
    <tableStyle name="Plantilla de facturación" pivot="0" count="8" xr9:uid="{00000000-0011-0000-FFFF-FFFF00000000}">
      <tableStyleElement type="wholeTable" dxfId="81"/>
      <tableStyleElement type="headerRow" dxfId="80"/>
      <tableStyleElement type="totalRow" dxfId="79"/>
      <tableStyleElement type="firstColumn" dxfId="78"/>
      <tableStyleElement type="lastColumn" dxfId="77"/>
      <tableStyleElement type="firstRowStripe" dxfId="76"/>
      <tableStyleElement type="secondRowStripe" dxfId="75"/>
      <tableStyleElement type="firstColumnStripe" dxfId="74"/>
    </tableStyle>
    <tableStyle name="Plantilla de facturación 2" pivot="0" count="8" xr9:uid="{00000000-0011-0000-FFFF-FFFF01000000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secondRowStripe" dxfId="67"/>
      <tableStyleElement type="firstColumnStripe" dxfId="66"/>
    </tableStyle>
    <tableStyle name="Tabla de factura de ventas" pivot="0" count="7" xr9:uid="{00000000-0011-0000-FFFF-FFFF02000000}">
      <tableStyleElement type="wholeTable" dxfId="65"/>
      <tableStyleElement type="headerRow" dxfId="64"/>
      <tableStyleElement type="totalRow" dxfId="63"/>
      <tableStyleElement type="firstColumn" dxfId="62"/>
      <tableStyleElement type="lastColumn" dxfId="61"/>
      <tableStyleElement type="firstRowStripe" dxfId="60"/>
      <tableStyleElement type="firstColumnStripe" dxfId="5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hyperlink" Target="https://products.office.com/es-es/home?omkt=es-ES&amp;rtc=1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2343150</xdr:colOff>
      <xdr:row>3</xdr:row>
      <xdr:rowOff>255271</xdr:rowOff>
    </xdr:from>
    <xdr:to>
      <xdr:col>7</xdr:col>
      <xdr:colOff>670560</xdr:colOff>
      <xdr:row>7</xdr:row>
      <xdr:rowOff>102870</xdr:rowOff>
    </xdr:to>
    <xdr:sp macro="" textlink="">
      <xdr:nvSpPr>
        <xdr:cNvPr id="33" name="Cuadro de 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199370" y="2099311"/>
          <a:ext cx="3729990" cy="1158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0"/>
          <a:r>
            <a:rPr lang="es" sz="4000">
              <a:solidFill>
                <a:schemeClr val="accent3">
                  <a:lumMod val="50000"/>
                </a:schemeClr>
              </a:solidFill>
              <a:latin typeface="+mj-lt"/>
            </a:rPr>
            <a:t>FACTURA</a:t>
          </a:r>
          <a:endParaRPr lang="en-US" sz="3600">
            <a:solidFill>
              <a:schemeClr val="accent3">
                <a:lumMod val="50000"/>
              </a:schemeClr>
            </a:solidFill>
            <a:latin typeface="+mj-lt"/>
          </a:endParaRPr>
        </a:p>
      </xdr:txBody>
    </xdr:sp>
    <xdr:clientData/>
  </xdr:twoCellAnchor>
  <xdr:twoCellAnchor>
    <xdr:from>
      <xdr:col>3</xdr:col>
      <xdr:colOff>1729</xdr:colOff>
      <xdr:row>1</xdr:row>
      <xdr:rowOff>1</xdr:rowOff>
    </xdr:from>
    <xdr:to>
      <xdr:col>7</xdr:col>
      <xdr:colOff>95250</xdr:colOff>
      <xdr:row>3</xdr:row>
      <xdr:rowOff>85725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859854" y="628651"/>
          <a:ext cx="5494196" cy="1295399"/>
          <a:chOff x="3754591" y="1"/>
          <a:chExt cx="4817909" cy="1295399"/>
        </a:xfrm>
      </xdr:grpSpPr>
      <xdr:sp macro="" textlink="">
        <xdr:nvSpPr>
          <xdr:cNvPr id="34" name="Rectángul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3754591" y="1"/>
            <a:ext cx="4724401" cy="1207008"/>
          </a:xfrm>
          <a:prstGeom prst="rect">
            <a:avLst/>
          </a:prstGeom>
          <a:solidFill>
            <a:schemeClr val="accent3">
              <a:lumMod val="75000"/>
            </a:schemeClr>
          </a:solidFill>
          <a:ln w="285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pic>
        <xdr:nvPicPr>
          <xdr:cNvPr id="8" name="Imagen 7" descr="Diseño de banner abstracto" title="Banner 1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35222" y="1"/>
            <a:ext cx="3642899" cy="1209674"/>
          </a:xfrm>
          <a:prstGeom prst="rect">
            <a:avLst/>
          </a:prstGeom>
        </xdr:spPr>
      </xdr:pic>
      <xdr:sp macro="" textlink="">
        <xdr:nvSpPr>
          <xdr:cNvPr id="16" name="Rectángulo con una esquina redondeada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 rot="16200000">
            <a:off x="6347460" y="-939165"/>
            <a:ext cx="411480" cy="3886200"/>
          </a:xfrm>
          <a:prstGeom prst="round1Rect">
            <a:avLst>
              <a:gd name="adj" fmla="val 15683"/>
            </a:avLst>
          </a:prstGeom>
          <a:solidFill>
            <a:schemeClr val="accent3">
              <a:lumMod val="50000"/>
            </a:schemeClr>
          </a:solidFill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77249" y="9525"/>
            <a:ext cx="95251" cy="12096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3771900" y="1200150"/>
            <a:ext cx="4724400" cy="952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  <xdr:twoCellAnchor editAs="oneCell">
    <xdr:from>
      <xdr:col>3</xdr:col>
      <xdr:colOff>1076325</xdr:colOff>
      <xdr:row>2</xdr:row>
      <xdr:rowOff>274318</xdr:rowOff>
    </xdr:from>
    <xdr:to>
      <xdr:col>4</xdr:col>
      <xdr:colOff>3811</xdr:colOff>
      <xdr:row>3</xdr:row>
      <xdr:rowOff>3810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848225" y="1493518"/>
          <a:ext cx="1666876" cy="3543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900">
              <a:solidFill>
                <a:schemeClr val="bg1"/>
              </a:solidFill>
            </a:rPr>
            <a:t>Su(s) número(s) de teléfono</a:t>
          </a:r>
        </a:p>
      </xdr:txBody>
    </xdr:sp>
    <xdr:clientData/>
  </xdr:twoCellAnchor>
  <xdr:twoCellAnchor editAs="oneCell">
    <xdr:from>
      <xdr:col>5</xdr:col>
      <xdr:colOff>1085850</xdr:colOff>
      <xdr:row>2</xdr:row>
      <xdr:rowOff>245743</xdr:rowOff>
    </xdr:from>
    <xdr:to>
      <xdr:col>7</xdr:col>
      <xdr:colOff>72009</xdr:colOff>
      <xdr:row>3</xdr:row>
      <xdr:rowOff>38100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219950" y="1464943"/>
          <a:ext cx="1226439" cy="4114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900">
              <a:solidFill>
                <a:schemeClr val="bg1"/>
              </a:solidFill>
            </a:rPr>
            <a:t>Su dirección de correo electrónico</a:t>
          </a:r>
        </a:p>
      </xdr:txBody>
    </xdr:sp>
    <xdr:clientData/>
  </xdr:twoCellAnchor>
  <xdr:twoCellAnchor editAs="oneCell">
    <xdr:from>
      <xdr:col>4</xdr:col>
      <xdr:colOff>1180338</xdr:colOff>
      <xdr:row>2</xdr:row>
      <xdr:rowOff>264793</xdr:rowOff>
    </xdr:from>
    <xdr:to>
      <xdr:col>6</xdr:col>
      <xdr:colOff>110490</xdr:colOff>
      <xdr:row>3</xdr:row>
      <xdr:rowOff>34290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504813" y="1483993"/>
          <a:ext cx="1391412" cy="373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900">
              <a:solidFill>
                <a:schemeClr val="bg1"/>
              </a:solidFill>
            </a:rPr>
            <a:t>Su(s) número(s) de fax</a:t>
          </a:r>
        </a:p>
      </xdr:txBody>
    </xdr:sp>
    <xdr:clientData/>
  </xdr:twoCellAnchor>
  <xdr:twoCellAnchor editAs="oneCell">
    <xdr:from>
      <xdr:col>5</xdr:col>
      <xdr:colOff>238060</xdr:colOff>
      <xdr:row>2</xdr:row>
      <xdr:rowOff>23776</xdr:rowOff>
    </xdr:from>
    <xdr:to>
      <xdr:col>5</xdr:col>
      <xdr:colOff>605359</xdr:colOff>
      <xdr:row>2</xdr:row>
      <xdr:rowOff>377344</xdr:rowOff>
    </xdr:to>
    <xdr:pic>
      <xdr:nvPicPr>
        <xdr:cNvPr id="3" name="Imagen 2" descr="Icono de fax" title="Icono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160" y="614326"/>
          <a:ext cx="359679" cy="338328"/>
        </a:xfrm>
        <a:prstGeom prst="rect">
          <a:avLst/>
        </a:prstGeom>
      </xdr:spPr>
    </xdr:pic>
    <xdr:clientData/>
  </xdr:twoCellAnchor>
  <xdr:twoCellAnchor editAs="oneCell">
    <xdr:from>
      <xdr:col>6</xdr:col>
      <xdr:colOff>340500</xdr:colOff>
      <xdr:row>2</xdr:row>
      <xdr:rowOff>23776</xdr:rowOff>
    </xdr:from>
    <xdr:to>
      <xdr:col>6</xdr:col>
      <xdr:colOff>719229</xdr:colOff>
      <xdr:row>2</xdr:row>
      <xdr:rowOff>377344</xdr:rowOff>
    </xdr:to>
    <xdr:pic>
      <xdr:nvPicPr>
        <xdr:cNvPr id="4" name="Imagen 3" descr="Icono de correo electrónico" title="Icono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5700" y="614326"/>
          <a:ext cx="359679" cy="338328"/>
        </a:xfrm>
        <a:prstGeom prst="rect">
          <a:avLst/>
        </a:prstGeom>
      </xdr:spPr>
    </xdr:pic>
    <xdr:clientData/>
  </xdr:twoCellAnchor>
  <xdr:twoCellAnchor editAs="oneCell">
    <xdr:from>
      <xdr:col>4</xdr:col>
      <xdr:colOff>176176</xdr:colOff>
      <xdr:row>2</xdr:row>
      <xdr:rowOff>23776</xdr:rowOff>
    </xdr:from>
    <xdr:to>
      <xdr:col>5</xdr:col>
      <xdr:colOff>114299</xdr:colOff>
      <xdr:row>2</xdr:row>
      <xdr:rowOff>376939</xdr:rowOff>
    </xdr:to>
    <xdr:pic>
      <xdr:nvPicPr>
        <xdr:cNvPr id="5" name="Imagen 4" descr="Icono de teléfono" title="Icon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176" y="614326"/>
          <a:ext cx="357223" cy="336018"/>
        </a:xfrm>
        <a:prstGeom prst="rect">
          <a:avLst/>
        </a:prstGeom>
      </xdr:spPr>
    </xdr:pic>
    <xdr:clientData/>
  </xdr:twoCellAnchor>
  <xdr:twoCellAnchor>
    <xdr:from>
      <xdr:col>1</xdr:col>
      <xdr:colOff>47624</xdr:colOff>
      <xdr:row>4</xdr:row>
      <xdr:rowOff>38099</xdr:rowOff>
    </xdr:from>
    <xdr:to>
      <xdr:col>2</xdr:col>
      <xdr:colOff>120160</xdr:colOff>
      <xdr:row>7</xdr:row>
      <xdr:rowOff>38099</xdr:rowOff>
    </xdr:to>
    <xdr:grpSp>
      <xdr:nvGrpSpPr>
        <xdr:cNvPr id="6" name="Grupo 5" descr="Marcador de posición del logotipo de la empresa" title="Logotipo de la empres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00024" y="2362199"/>
          <a:ext cx="5301761" cy="819150"/>
          <a:chOff x="200024" y="1733549"/>
          <a:chExt cx="1225061" cy="819150"/>
        </a:xfrm>
      </xdr:grpSpPr>
      <xdr:sp macro="" textlink="">
        <xdr:nvSpPr>
          <xdr:cNvPr id="11" name="Rectángulo 10" descr="Marcador de posición del logotipo de la empresa" title="Logotipo de la empresa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295274" y="1733549"/>
            <a:ext cx="670559" cy="670559"/>
          </a:xfrm>
          <a:prstGeom prst="rect">
            <a:avLst/>
          </a:prstGeom>
          <a:solidFill>
            <a:schemeClr val="accent3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12" name="Rectángulo con una esquina redondeada 11" descr="Marcador de posición del logotipo de la empresa" title="Logotipo de la empresa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16200000">
            <a:off x="461961" y="1882140"/>
            <a:ext cx="670559" cy="670559"/>
          </a:xfrm>
          <a:prstGeom prst="round1Rect">
            <a:avLst>
              <a:gd name="adj" fmla="val 11422"/>
            </a:avLst>
          </a:prstGeom>
          <a:solidFill>
            <a:schemeClr val="accent3">
              <a:lumMod val="75000"/>
            </a:schemeClr>
          </a:solidFill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13" name="Cuadro de texto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200024" y="1943100"/>
            <a:ext cx="1225061" cy="571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 rtl="0"/>
            <a:r>
              <a:rPr lang="es" sz="800">
                <a:solidFill>
                  <a:schemeClr val="accent3">
                    <a:lumMod val="20000"/>
                    <a:lumOff val="80000"/>
                  </a:schemeClr>
                </a:solidFill>
                <a:latin typeface="+mj-lt"/>
              </a:rPr>
              <a:t>Su</a:t>
            </a:r>
          </a:p>
          <a:p>
            <a:pPr algn="ctr" rtl="0"/>
            <a:r>
              <a:rPr lang="es" sz="800">
                <a:solidFill>
                  <a:schemeClr val="accent3">
                    <a:lumMod val="20000"/>
                    <a:lumOff val="80000"/>
                  </a:schemeClr>
                </a:solidFill>
                <a:latin typeface="+mj-lt"/>
              </a:rPr>
              <a:t>Empresa </a:t>
            </a:r>
          </a:p>
          <a:p>
            <a:pPr algn="ctr" rtl="0"/>
            <a:r>
              <a:rPr lang="es" sz="800">
                <a:solidFill>
                  <a:schemeClr val="accent3">
                    <a:lumMod val="20000"/>
                    <a:lumOff val="80000"/>
                  </a:schemeClr>
                </a:solidFill>
                <a:latin typeface="+mj-lt"/>
              </a:rPr>
              <a:t>Logotipo</a:t>
            </a:r>
          </a:p>
        </xdr:txBody>
      </xdr:sp>
    </xdr:grpSp>
    <xdr:clientData/>
  </xdr:twoCellAnchor>
  <xdr:twoCellAnchor>
    <xdr:from>
      <xdr:col>1</xdr:col>
      <xdr:colOff>0</xdr:colOff>
      <xdr:row>0</xdr:row>
      <xdr:rowOff>5664</xdr:rowOff>
    </xdr:from>
    <xdr:to>
      <xdr:col>2</xdr:col>
      <xdr:colOff>1950720</xdr:colOff>
      <xdr:row>0</xdr:row>
      <xdr:rowOff>524025</xdr:rowOff>
    </xdr:to>
    <xdr:pic>
      <xdr:nvPicPr>
        <xdr:cNvPr id="19" name="Imagen 18" descr="Icono de Microsoft Invoic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70C492-4265-49E6-88C4-7D940011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5664"/>
          <a:ext cx="3217545" cy="518361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1296585</xdr:colOff>
      <xdr:row>1</xdr:row>
      <xdr:rowOff>0</xdr:rowOff>
    </xdr:from>
    <xdr:to>
      <xdr:col>12</xdr:col>
      <xdr:colOff>8283</xdr:colOff>
      <xdr:row>2</xdr:row>
      <xdr:rowOff>0</xdr:rowOff>
    </xdr:to>
    <xdr:pic>
      <xdr:nvPicPr>
        <xdr:cNvPr id="3" name="Imagen 2" descr="Diseño de banner abstracto" title="Banne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8285" y="152400"/>
          <a:ext cx="5503023" cy="90487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0</xdr:row>
      <xdr:rowOff>76200</xdr:rowOff>
    </xdr:from>
    <xdr:to>
      <xdr:col>12</xdr:col>
      <xdr:colOff>66261</xdr:colOff>
      <xdr:row>2</xdr:row>
      <xdr:rowOff>132522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100-000008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99060" y="76200"/>
          <a:ext cx="16557846" cy="1119312"/>
          <a:chOff x="95250" y="76200"/>
          <a:chExt cx="15191961" cy="1113597"/>
        </a:xfrm>
      </xdr:grpSpPr>
      <xdr:sp macro="" textlink="">
        <xdr:nvSpPr>
          <xdr:cNvPr id="4" name="Rectángulo con una esquina redondeada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 rot="5400000" flipH="1">
            <a:off x="1541526" y="-998601"/>
            <a:ext cx="666750" cy="3502152"/>
          </a:xfrm>
          <a:prstGeom prst="round1Rect">
            <a:avLst>
              <a:gd name="adj" fmla="val 15561"/>
            </a:avLst>
          </a:prstGeom>
          <a:solidFill>
            <a:schemeClr val="accent3">
              <a:lumMod val="50000"/>
            </a:schemeClr>
          </a:solidFill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95250" y="76200"/>
            <a:ext cx="57150" cy="10953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52400" y="1055203"/>
            <a:ext cx="15134811" cy="13459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  <xdr:twoCellAnchor>
    <xdr:from>
      <xdr:col>2</xdr:col>
      <xdr:colOff>84605</xdr:colOff>
      <xdr:row>1</xdr:row>
      <xdr:rowOff>361950</xdr:rowOff>
    </xdr:from>
    <xdr:to>
      <xdr:col>4</xdr:col>
      <xdr:colOff>371475</xdr:colOff>
      <xdr:row>1</xdr:row>
      <xdr:rowOff>828675</xdr:rowOff>
    </xdr:to>
    <xdr:sp macro="" textlink="">
      <xdr:nvSpPr>
        <xdr:cNvPr id="5" name="Cuadro de 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37005" y="514350"/>
          <a:ext cx="299197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 rtl="0"/>
          <a:r>
            <a:rPr lang="es" sz="2400">
              <a:solidFill>
                <a:schemeClr val="bg1"/>
              </a:solidFill>
              <a:latin typeface="+mj-lt"/>
            </a:rPr>
            <a:t>CLIENTES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419101</xdr:colOff>
      <xdr:row>1</xdr:row>
      <xdr:rowOff>0</xdr:rowOff>
    </xdr:from>
    <xdr:to>
      <xdr:col>11</xdr:col>
      <xdr:colOff>9526</xdr:colOff>
      <xdr:row>2</xdr:row>
      <xdr:rowOff>14248</xdr:rowOff>
    </xdr:to>
    <xdr:pic>
      <xdr:nvPicPr>
        <xdr:cNvPr id="2" name="Imagen 1" descr="Diseño de banner abstracto" title="Banne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1" y="152400"/>
          <a:ext cx="4248150" cy="919123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0</xdr:row>
      <xdr:rowOff>66675</xdr:rowOff>
    </xdr:from>
    <xdr:to>
      <xdr:col>11</xdr:col>
      <xdr:colOff>57150</xdr:colOff>
      <xdr:row>2</xdr:row>
      <xdr:rowOff>130193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200-000007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99060" y="68580"/>
          <a:ext cx="17244060" cy="1124603"/>
          <a:chOff x="95250" y="66675"/>
          <a:chExt cx="14668500" cy="1120793"/>
        </a:xfrm>
      </xdr:grpSpPr>
      <xdr:sp macro="" textlink="">
        <xdr:nvSpPr>
          <xdr:cNvPr id="3" name="Rectángulo con una esquina redondeada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 rot="5400000" flipH="1">
            <a:off x="1541526" y="-998601"/>
            <a:ext cx="666750" cy="3502152"/>
          </a:xfrm>
          <a:prstGeom prst="round1Rect">
            <a:avLst>
              <a:gd name="adj" fmla="val 12703"/>
            </a:avLst>
          </a:prstGeom>
          <a:solidFill>
            <a:schemeClr val="accent3">
              <a:lumMod val="50000"/>
            </a:schemeClr>
          </a:solidFill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23825" y="1057275"/>
            <a:ext cx="14639925" cy="13019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95250" y="66675"/>
            <a:ext cx="57150" cy="10953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  <xdr:twoCellAnchor>
    <xdr:from>
      <xdr:col>1</xdr:col>
      <xdr:colOff>75079</xdr:colOff>
      <xdr:row>1</xdr:row>
      <xdr:rowOff>361950</xdr:rowOff>
    </xdr:from>
    <xdr:to>
      <xdr:col>3</xdr:col>
      <xdr:colOff>48454</xdr:colOff>
      <xdr:row>1</xdr:row>
      <xdr:rowOff>828675</xdr:rowOff>
    </xdr:to>
    <xdr:sp macro="" textlink="">
      <xdr:nvSpPr>
        <xdr:cNvPr id="4" name="Cuadro de 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27479" y="514350"/>
          <a:ext cx="267847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 rtl="0"/>
          <a:r>
            <a:rPr lang="es" sz="2400">
              <a:solidFill>
                <a:schemeClr val="bg1"/>
              </a:solidFill>
              <a:latin typeface="+mj-lt"/>
            </a:rPr>
            <a:t>FACTURAS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</xdr:row>
      <xdr:rowOff>0</xdr:rowOff>
    </xdr:from>
    <xdr:to>
      <xdr:col>8</xdr:col>
      <xdr:colOff>9525</xdr:colOff>
      <xdr:row>2</xdr:row>
      <xdr:rowOff>30626</xdr:rowOff>
    </xdr:to>
    <xdr:pic>
      <xdr:nvPicPr>
        <xdr:cNvPr id="2" name="Imagen 1" descr="Diseño de banner abstracto" title="Banner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52400"/>
          <a:ext cx="3914775" cy="935501"/>
        </a:xfrm>
        <a:prstGeom prst="rect">
          <a:avLst/>
        </a:prstGeom>
      </xdr:spPr>
    </xdr:pic>
    <xdr:clientData/>
  </xdr:twoCellAnchor>
  <xdr:twoCellAnchor>
    <xdr:from>
      <xdr:col>0</xdr:col>
      <xdr:colOff>41910</xdr:colOff>
      <xdr:row>0</xdr:row>
      <xdr:rowOff>66675</xdr:rowOff>
    </xdr:from>
    <xdr:to>
      <xdr:col>8</xdr:col>
      <xdr:colOff>32385</xdr:colOff>
      <xdr:row>2</xdr:row>
      <xdr:rowOff>104776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300-000007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41910" y="68580"/>
          <a:ext cx="10256520" cy="1097281"/>
          <a:chOff x="57150" y="66675"/>
          <a:chExt cx="9096375" cy="1095376"/>
        </a:xfrm>
      </xdr:grpSpPr>
      <xdr:sp macro="" textlink="">
        <xdr:nvSpPr>
          <xdr:cNvPr id="3" name="Rectángulo con una esquina redondeada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 rot="5400000" flipH="1">
            <a:off x="1926264" y="-1380292"/>
            <a:ext cx="666750" cy="4265533"/>
          </a:xfrm>
          <a:prstGeom prst="round1Rect">
            <a:avLst>
              <a:gd name="adj" fmla="val 14132"/>
            </a:avLst>
          </a:prstGeom>
          <a:solidFill>
            <a:schemeClr val="accent3">
              <a:lumMod val="50000"/>
            </a:schemeClr>
          </a:solidFill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95250" y="66675"/>
            <a:ext cx="57150" cy="10953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57150" y="1057276"/>
            <a:ext cx="9096375" cy="10477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  <xdr:twoCellAnchor>
    <xdr:from>
      <xdr:col>1</xdr:col>
      <xdr:colOff>75078</xdr:colOff>
      <xdr:row>1</xdr:row>
      <xdr:rowOff>361950</xdr:rowOff>
    </xdr:from>
    <xdr:to>
      <xdr:col>4</xdr:col>
      <xdr:colOff>19049</xdr:colOff>
      <xdr:row>1</xdr:row>
      <xdr:rowOff>828675</xdr:rowOff>
    </xdr:to>
    <xdr:sp macro="" textlink="">
      <xdr:nvSpPr>
        <xdr:cNvPr id="4" name="Cuadro de 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27478" y="514350"/>
          <a:ext cx="4515971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 rtl="0"/>
          <a:r>
            <a:rPr lang="es" sz="2400">
              <a:solidFill>
                <a:schemeClr val="bg1"/>
              </a:solidFill>
              <a:latin typeface="+mj-lt"/>
            </a:rPr>
            <a:t>DETALLES DE LA</a:t>
          </a:r>
          <a:r>
            <a:rPr lang="es" sz="2400" baseline="0">
              <a:solidFill>
                <a:schemeClr val="bg1"/>
              </a:solidFill>
              <a:latin typeface="+mj-lt"/>
            </a:rPr>
            <a:t> FACTURA</a:t>
          </a:r>
          <a:endParaRPr lang="en-US" sz="2400">
            <a:solidFill>
              <a:schemeClr val="bg1"/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rojectInvoice" displayName="ProjectInvoice" ref="B14:H34" headerRowDxfId="58" headerRowBorderDxfId="57">
  <autoFilter ref="B14:H3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sku" totalsRowLabel="Total" dataDxfId="56"/>
    <tableColumn id="4" xr3:uid="{77271047-C025-4869-B779-54A24DC0B427}" name="codigo_barra" dataDxfId="55"/>
    <tableColumn id="2" xr3:uid="{00000000-0010-0000-0000-000002000000}" name="nombre" dataDxfId="54"/>
    <tableColumn id="7" xr3:uid="{00000000-0010-0000-0000-000007000000}" name="Cant." dataDxfId="53"/>
    <tableColumn id="8" xr3:uid="{00000000-0010-0000-0000-000008000000}" name="Precio por unidad" dataDxfId="52"/>
    <tableColumn id="10" xr3:uid="{00000000-0010-0000-0000-00000A000000}" name="Descuento" dataDxfId="51" totalsRowDxfId="50"/>
    <tableColumn id="11" xr3:uid="{00000000-0010-0000-0000-00000B000000}" name="Precio" totalsRowFunction="count" dataDxfId="49" totalsRowDxfId="48">
      <calculatedColumnFormula>IFERROR((E15*F15)-G15,"")</calculatedColumnFormula>
    </tableColumn>
  </tableColumns>
  <tableStyleInfo name="Plantilla de facturación 2" showFirstColumn="0" showLastColumn="0" showRowStripes="1" showColumnStripes="0"/>
  <extLst>
    <ext xmlns:x14="http://schemas.microsoft.com/office/spreadsheetml/2009/9/main" uri="{504A1905-F514-4f6f-8877-14C23A59335A}">
      <x14:table altTextSummary="Lista de facturas con el elemento nº, descripción, cantidad, precio unitario, descuento y precio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List" displayName="CustomerList" ref="B4:L7" totalsRowCount="1" headerRowDxfId="47" dataDxfId="46" totalsRowDxfId="45">
  <autoFilter ref="B4:L6" xr:uid="{00000000-0009-0000-0100-000001000000}"/>
  <tableColumns count="11">
    <tableColumn id="9" xr3:uid="{00000000-0010-0000-0100-000009000000}" name="Búsqueda" totalsRowLabel="Total" totalsRowDxfId="44">
      <calculatedColumnFormula>C5&amp; " - "&amp;D5</calculatedColumnFormula>
    </tableColumn>
    <tableColumn id="1" xr3:uid="{00000000-0010-0000-0100-000001000000}" name="Nº de compañía" totalsRowFunction="custom" dataDxfId="43" totalsRowDxfId="42" dataCellStyle="Normal">
      <totalsRowFormula>"Clientes totales: "&amp;SUBTOTAL(103,CustomerList[Nº de compañía])</totalsRowFormula>
    </tableColumn>
    <tableColumn id="2" xr3:uid="{00000000-0010-0000-0100-000002000000}" name="Nombre de la empresa" totalsRowDxfId="41"/>
    <tableColumn id="3" xr3:uid="{00000000-0010-0000-0100-000003000000}" name="Nombre de contacto" totalsRowDxfId="40"/>
    <tableColumn id="4" xr3:uid="{00000000-0010-0000-0100-000004000000}" name="Dirección" totalsRowDxfId="39"/>
    <tableColumn id="5" xr3:uid="{00000000-0010-0000-0100-000005000000}" name="Ciudad" totalsRowDxfId="38"/>
    <tableColumn id="6" xr3:uid="{00000000-0010-0000-0100-000006000000}" name="Provincia" totalsRowDxfId="37"/>
    <tableColumn id="7" xr3:uid="{00000000-0010-0000-0100-000007000000}" name="Código postal" totalsRowDxfId="36"/>
    <tableColumn id="8" xr3:uid="{00000000-0010-0000-0100-000008000000}" name="Teléfono" dataDxfId="35" totalsRowDxfId="34"/>
    <tableColumn id="10" xr3:uid="{00000000-0010-0000-0100-00000A000000}" name="Correo electrónico" dataDxfId="33" totalsRowDxfId="32" dataCellStyle="Normal"/>
    <tableColumn id="11" xr3:uid="{00000000-0010-0000-0100-00000B000000}" name="Fax" dataDxfId="31" totalsRowDxfId="30"/>
  </tableColumns>
  <tableStyleInfo name="Plantilla de facturación" showFirstColumn="0" showLastColumn="0" showRowStripes="1" showColumnStripes="0"/>
  <extLst>
    <ext xmlns:x14="http://schemas.microsoft.com/office/spreadsheetml/2009/9/main" uri="{504A1905-F514-4f6f-8877-14C23A59335A}">
      <x14:table altTextSummary="Lista de clientes con la empresa nº, nombre de la empresa, nombre de contacto, dirección, ciudad, estado, código postal, teléfono, correo electrónico y fax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urasPrincipales" displayName="FacturasPrincipales" ref="B4:K7" totalsRowCount="1" headerRowDxfId="29" dataDxfId="28" totalsRowDxfId="27">
  <autoFilter ref="B4:K6" xr:uid="{00000000-0009-0000-0100-000003000000}"/>
  <tableColumns count="10">
    <tableColumn id="1" xr3:uid="{00000000-0010-0000-0200-000001000000}" name="N.º de factura" totalsRowFunction="custom" totalsRowDxfId="26">
      <totalsRowFormula>"Facturas totales: "&amp;SUBTOTAL(103,FacturasPrincipales[N.º de factura])</totalsRowFormula>
    </tableColumn>
    <tableColumn id="2" xr3:uid="{00000000-0010-0000-0200-000002000000}" name="Empresa" totalsRowDxfId="25"/>
    <tableColumn id="3" xr3:uid="{00000000-0010-0000-0200-000003000000}" name="Fecha de la factura" totalsRowDxfId="24"/>
    <tableColumn id="4" xr3:uid="{00000000-0010-0000-0200-000004000000}" name="Descripción del proyecto" totalsRowDxfId="23"/>
    <tableColumn id="8" xr3:uid="{00000000-0010-0000-0200-000008000000}" name="Tipo de impuesto" totalsRowLabel="Totales:" totalsRowDxfId="22"/>
    <tableColumn id="9" xr3:uid="{00000000-0010-0000-0200-000009000000}" name="Otros" totalsRowFunction="sum" dataDxfId="21" totalsRowDxfId="20"/>
    <tableColumn id="6" xr3:uid="{00000000-0010-0000-0200-000006000000}" name="Depósito" totalsRowFunction="sum" dataDxfId="19" totalsRowDxfId="18"/>
    <tableColumn id="7" xr3:uid="{00000000-0010-0000-0200-000007000000}" name="Total de detalles" totalsRowFunction="sum" dataDxfId="17" totalsRowDxfId="16">
      <calculatedColumnFormula>SUMIF(DetallesDeLaFactura[N.º de factura],"="&amp;FacturasPrincipales[[#This Row],[N.º de factura]],DetallesDeLaFactura[Total])</calculatedColumnFormula>
    </tableColumn>
    <tableColumn id="10" xr3:uid="{00000000-0010-0000-0200-00000A000000}" name="Total de la factura" totalsRowFunction="sum" dataDxfId="15" totalsRowDxfId="14">
      <calculatedColumnFormula>(FacturasPrincipales[[#This Row],[Total de detalles]]*(1+FacturasPrincipales[[#This Row],[Tipo de impuesto]]))+FacturasPrincipales[[#This Row],[Otros]]-FacturasPrincipales[[#This Row],[Depósito]]</calculatedColumnFormula>
    </tableColumn>
    <tableColumn id="5" xr3:uid="{00000000-0010-0000-0200-000005000000}" name="Notas" totalsRowDxfId="13"/>
  </tableColumns>
  <tableStyleInfo name="Plantilla de facturación" showFirstColumn="0" showLastColumn="0" showRowStripes="1" showColumnStripes="0"/>
  <extLst>
    <ext xmlns:x14="http://schemas.microsoft.com/office/spreadsheetml/2009/9/main" uri="{504A1905-F514-4f6f-8877-14C23A59335A}">
      <x14:table altTextSummary="Lista de facturas con la factura nº, empresa, fecha de la factura, descripción del proyecto, tasa de impuesto, otro, depósito, total detallado, total de la factura y nota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DetallesDeLaFactura" displayName="DetallesDeLaFactura" ref="B4:H36" totalsRowShown="0" headerRowDxfId="12" dataDxfId="11">
  <autoFilter ref="B4:H36" xr:uid="{00000000-0009-0000-0100-000002000000}"/>
  <sortState xmlns:xlrd2="http://schemas.microsoft.com/office/spreadsheetml/2017/richdata2" ref="B5:H40">
    <sortCondition ref="C4:C40"/>
  </sortState>
  <tableColumns count="7">
    <tableColumn id="2" xr3:uid="{00000000-0010-0000-0300-000002000000}" name="Descripción" dataDxfId="10"/>
    <tableColumn id="1" xr3:uid="{00000000-0010-0000-0300-000001000000}" name="N.º de factura" dataDxfId="9"/>
    <tableColumn id="4" xr3:uid="{00000000-0010-0000-0300-000004000000}" name="sku" dataDxfId="8"/>
    <tableColumn id="3" xr3:uid="{00000000-0010-0000-0300-000003000000}" name="Cant." dataDxfId="7"/>
    <tableColumn id="6" xr3:uid="{00000000-0010-0000-0300-000006000000}" name="Precio por unidad" dataDxfId="6"/>
    <tableColumn id="5" xr3:uid="{00000000-0010-0000-0300-000005000000}" name="Descuento" dataDxfId="5"/>
    <tableColumn id="10" xr3:uid="{00000000-0010-0000-0300-00000A000000}" name="Total" dataDxfId="4">
      <calculatedColumnFormula>(DetallesDeLaFactura[[#This Row],[Cant.]]*DetallesDeLaFactura[[#This Row],[Precio por unidad]])-DetallesDeLaFactura[[#This Row],[Descuento]]</calculatedColumnFormula>
    </tableColumn>
  </tableColumns>
  <tableStyleInfo name="Plantilla de facturación" showFirstColumn="0" showLastColumn="0" showRowStripes="1" showColumnStripes="0"/>
  <extLst>
    <ext xmlns:x14="http://schemas.microsoft.com/office/spreadsheetml/2009/9/main" uri="{504A1905-F514-4f6f-8877-14C23A59335A}">
      <x14:table altTextSummary="Detalles de la factura con descripción, n.º de factura, n.º de artículo, cantidad, precio unitario, descuento y total"/>
    </ext>
  </extLst>
</table>
</file>

<file path=xl/theme/theme1.xml><?xml version="1.0" encoding="utf-8"?>
<a:theme xmlns:a="http://schemas.openxmlformats.org/drawingml/2006/main" name="Invoicing Templates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38">
      <a:majorFont>
        <a:latin typeface="Verdan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ducts.office.com/en-us/business/microsoft-invoicing/invoice-software" TargetMode="External"/><Relationship Id="rId1" Type="http://schemas.openxmlformats.org/officeDocument/2006/relationships/hyperlink" Target="https://products.office.com/en-us/business/microsoft-invoicing/invoice-software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lguien@example.com" TargetMode="External"/><Relationship Id="rId1" Type="http://schemas.openxmlformats.org/officeDocument/2006/relationships/hyperlink" Target="mailto:alguien@example.com" TargetMode="Externa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 fitToPage="1"/>
  </sheetPr>
  <dimension ref="A1:I40"/>
  <sheetViews>
    <sheetView tabSelected="1" topLeftCell="A6" zoomScaleNormal="100" workbookViewId="0">
      <selection activeCell="D15" sqref="D15"/>
    </sheetView>
  </sheetViews>
  <sheetFormatPr baseColWidth="10" defaultColWidth="9.109375" defaultRowHeight="21" customHeight="1"/>
  <cols>
    <col min="1" max="1" width="1.77734375" style="24" customWidth="1"/>
    <col min="2" max="2" width="61" style="25" bestFit="1" customWidth="1"/>
    <col min="3" max="3" width="28.88671875" style="25" bestFit="1" customWidth="1"/>
    <col min="4" max="4" width="31.88671875" style="25" bestFit="1" customWidth="1"/>
    <col min="5" max="5" width="4.88671875" style="25" bestFit="1" customWidth="1"/>
    <col min="6" max="6" width="15.21875" style="25" bestFit="1" customWidth="1"/>
    <col min="7" max="7" width="11" style="25" bestFit="1" customWidth="1"/>
    <col min="8" max="8" width="7.88671875" style="25" bestFit="1" customWidth="1"/>
    <col min="9" max="9" width="11.33203125" style="25" customWidth="1"/>
    <col min="10" max="16384" width="9.109375" style="25"/>
  </cols>
  <sheetData>
    <row r="1" spans="1:9" s="13" customFormat="1" ht="49.9" customHeight="1">
      <c r="A1" s="24"/>
      <c r="C1" s="76"/>
      <c r="D1" s="81" t="s">
        <v>7</v>
      </c>
      <c r="E1" s="81"/>
      <c r="F1" s="81"/>
      <c r="G1" s="81"/>
      <c r="H1"/>
    </row>
    <row r="2" spans="1:9" ht="46.5" customHeight="1">
      <c r="A2" s="13"/>
      <c r="H2" s="25" t="s">
        <v>19</v>
      </c>
    </row>
    <row r="3" spans="1:9" s="32" customFormat="1" ht="48.75" customHeight="1">
      <c r="A3" s="30"/>
      <c r="D3" s="25"/>
      <c r="E3" s="25"/>
      <c r="F3" s="25"/>
      <c r="G3" s="25"/>
      <c r="H3" s="31"/>
    </row>
    <row r="4" spans="1:9" ht="38.25" customHeight="1">
      <c r="A4" s="27"/>
      <c r="D4" s="29"/>
      <c r="E4" s="29"/>
      <c r="F4" s="82"/>
      <c r="G4" s="82"/>
      <c r="H4" s="28"/>
      <c r="I4" s="24"/>
    </row>
    <row r="5" spans="1:9" ht="28.5" customHeight="1">
      <c r="A5" s="27"/>
      <c r="B5" s="29"/>
      <c r="C5" s="77" t="s">
        <v>3</v>
      </c>
      <c r="D5" s="29"/>
      <c r="E5" s="29"/>
      <c r="F5" s="36"/>
      <c r="G5" s="36"/>
      <c r="H5" s="28"/>
    </row>
    <row r="6" spans="1:9" ht="18" customHeight="1">
      <c r="A6" s="27"/>
      <c r="B6" s="28"/>
      <c r="C6" s="28" t="s">
        <v>4</v>
      </c>
      <c r="D6" s="28"/>
      <c r="E6" s="28"/>
      <c r="F6" s="28"/>
      <c r="G6" s="28"/>
      <c r="H6" s="28"/>
    </row>
    <row r="7" spans="1:9" ht="18" customHeight="1">
      <c r="A7" s="27"/>
      <c r="B7" s="28"/>
      <c r="C7" s="28" t="s">
        <v>5</v>
      </c>
      <c r="D7" s="28"/>
      <c r="E7" s="28"/>
      <c r="F7" s="28"/>
      <c r="G7" s="28"/>
      <c r="H7" s="28"/>
    </row>
    <row r="8" spans="1:9" ht="28.5" customHeight="1">
      <c r="A8" s="27"/>
      <c r="B8" s="28"/>
      <c r="C8" s="28"/>
      <c r="D8" s="28"/>
      <c r="E8" s="28"/>
      <c r="F8" s="28"/>
      <c r="G8" s="28"/>
      <c r="H8" s="28"/>
    </row>
    <row r="9" spans="1:9" ht="21.75" customHeight="1">
      <c r="A9" s="27"/>
      <c r="B9" s="37" t="s">
        <v>0</v>
      </c>
      <c r="C9" s="5" t="str">
        <f>IFERROR(VLOOKUP(VLOOKUP(rngInvoice,FacturasPrincipales[],2,FALSE),CustomerList[],3,TRUE),"")</f>
        <v>Contoso, Ltd</v>
      </c>
      <c r="D9" s="13" t="str">
        <f>"Teléfono: "&amp;IFERROR(VLOOKUP(VLOOKUP(rngInvoice,FacturasPrincipales[],2,FALSE),CustomerList[],9,FALSE),"")</f>
        <v>Teléfono: 432-555-0189</v>
      </c>
      <c r="E9" s="13"/>
      <c r="F9" s="54" t="s">
        <v>14</v>
      </c>
      <c r="G9" s="42" t="s">
        <v>17</v>
      </c>
      <c r="H9" s="28"/>
    </row>
    <row r="10" spans="1:9" ht="18" customHeight="1">
      <c r="B10" s="38"/>
      <c r="C10" s="78" t="str">
        <f>IFERROR(IF((VLOOKUP(VLOOKUP(rngInvoice,FacturasPrincipales[],2,FALSE),CustomerList[],5,FALSE))="","",(VLOOKUP(VLOOKUP(rngInvoice,FacturasPrincipales[],2,FALSE),CustomerList[],5,FALSE))),"")</f>
        <v>567 Walnut Lane</v>
      </c>
      <c r="D10" s="39" t="str">
        <f>"Fax: "&amp;IFERROR(VLOOKUP(VLOOKUP(rngInvoice,FacturasPrincipales[],2,FALSE),CustomerList[],11,FALSE),"")</f>
        <v>Fax: 432-555-0123</v>
      </c>
      <c r="E10" s="13"/>
      <c r="F10" s="54" t="s">
        <v>15</v>
      </c>
      <c r="G10" s="41">
        <f ca="1">IFERROR(IF(VLOOKUP(rngInvoice,FacturasPrincipales[],3,FALSE)="","",VLOOKUP(rngInvoice,FacturasPrincipales[],3,FALSE)),"")</f>
        <v>46105</v>
      </c>
    </row>
    <row r="11" spans="1:9" ht="18" customHeight="1">
      <c r="B11" s="38"/>
      <c r="C11" s="78" t="str">
        <f>IFERROR(VLOOKUP(VLOOKUP(rngInvoice,FacturasPrincipales[],2,FALSE),CustomerList[],6,FALSE)&amp;", "&amp; VLOOKUP(VLOOKUP(G9,FacturasPrincipales[],2,FALSE),CustomerList[],7,FALSE)&amp;" "&amp;VLOOKUP(VLOOKUP(G9,FacturasPrincipales[],2,FALSE),CustomerList[],8,FALSE),"")</f>
        <v>Moline, MO 98765</v>
      </c>
      <c r="D11" s="39" t="str">
        <f>"Correo electrónico: "&amp;IFERROR(VLOOKUP(VLOOKUP(rngInvoice,FacturasPrincipales[],2,FALSE),CustomerList[],10,FALSE),"")</f>
        <v>Correo electrónico: alguien@example.com</v>
      </c>
      <c r="E11" s="13"/>
    </row>
    <row r="12" spans="1:9" ht="9.9499999999999993" customHeight="1">
      <c r="B12" s="38"/>
      <c r="C12" s="79"/>
      <c r="F12" s="3"/>
      <c r="G12" s="26"/>
    </row>
    <row r="13" spans="1:9" ht="9.9499999999999993" customHeight="1">
      <c r="B13" s="38"/>
      <c r="C13" s="33"/>
      <c r="D13" s="33"/>
      <c r="E13" s="33"/>
      <c r="F13" s="33"/>
      <c r="G13" s="33"/>
    </row>
    <row r="14" spans="1:9" s="34" customFormat="1" ht="32.1" customHeight="1" thickBot="1">
      <c r="B14" s="58" t="s">
        <v>106</v>
      </c>
      <c r="C14" s="73" t="s">
        <v>118</v>
      </c>
      <c r="D14" s="59" t="s">
        <v>119</v>
      </c>
      <c r="E14" s="59" t="s">
        <v>8</v>
      </c>
      <c r="F14" s="59" t="s">
        <v>9</v>
      </c>
      <c r="G14" s="59" t="s">
        <v>16</v>
      </c>
      <c r="H14" s="60" t="s">
        <v>18</v>
      </c>
    </row>
    <row r="15" spans="1:9" s="24" customFormat="1" ht="21" customHeight="1" thickTop="1">
      <c r="B15" s="35" t="str">
        <f t="array" ref="B15">IFERROR(INDEX(DetallesDeLaFactura[],SMALL(IF(DetallesDeLaFactura[N.º de factura]=rngInvoice,ROW(DetallesDeLaFactura[])-ROW(DetallesDeLaFactura[#Headers])), ROW(2:2)), MATCH($B$14, DetallesDeLaFactura[#Headers], 0)),"")</f>
        <v>Z4568</v>
      </c>
      <c r="C15" s="75">
        <v>7790187340466</v>
      </c>
      <c r="D15" s="40" t="s">
        <v>107</v>
      </c>
      <c r="E15" s="35">
        <f t="array" ref="E15">IFERROR(INDEX(DetallesDeLaFactura[],SMALL(IF(DetallesDeLaFactura[N.º de factura]=rngInvoice,ROW(DetallesDeLaFactura[])-ROW(DetallesDeLaFactura[#Headers])), ROW(2:2)), MATCH($E$14, DetallesDeLaFactura[#Headers], 0)),"")</f>
        <v>40</v>
      </c>
      <c r="F15" s="63">
        <f t="array" ref="F15">IFERROR(INDEX(DetallesDeLaFactura[],SMALL(IF(DetallesDeLaFactura[N.º de factura]=rngInvoice,ROW(DetallesDeLaFactura[])-ROW(DetallesDeLaFactura[#Headers])), ROW(2:2)), MATCH($F$14, DetallesDeLaFactura[#Headers], 0)),"")</f>
        <v>4</v>
      </c>
      <c r="G15" s="63">
        <f t="array" ref="G15">IFERROR(INDEX(DetallesDeLaFactura[],SMALL(IF(DetallesDeLaFactura[N.º de factura]=rngInvoice,ROW(DetallesDeLaFactura[])-ROW(DetallesDeLaFactura[#Headers])), ROW(2:2)), MATCH($G$14, DetallesDeLaFactura[#Headers], 0)),"")</f>
        <v>5</v>
      </c>
      <c r="H15" s="64">
        <f t="shared" ref="H15" si="0">IFERROR((E15*F15)-G15,"")</f>
        <v>155</v>
      </c>
    </row>
    <row r="16" spans="1:9" s="24" customFormat="1" ht="21" customHeight="1">
      <c r="B16" s="35" t="str">
        <f t="array" ref="B16">IFERROR(INDEX(DetallesDeLaFactura[],SMALL(IF(DetallesDeLaFactura[N.º de factura]=rngInvoice,ROW(DetallesDeLaFactura[])-ROW(DetallesDeLaFactura[#Headers])), ROW(3:3)), MATCH($B$14, DetallesDeLaFactura[#Headers], 0)),"")</f>
        <v>Z4569</v>
      </c>
      <c r="C16" s="75">
        <v>7896181212089</v>
      </c>
      <c r="D16" s="40" t="s">
        <v>108</v>
      </c>
      <c r="E16" s="35">
        <f t="array" ref="E16">IFERROR(INDEX(DetallesDeLaFactura[],SMALL(IF(DetallesDeLaFactura[N.º de factura]=rngInvoice,ROW(DetallesDeLaFactura[])-ROW(DetallesDeLaFactura[#Headers])), ROW(3:3)), MATCH($E$14, DetallesDeLaFactura[#Headers], 0)),"")</f>
        <v>30</v>
      </c>
      <c r="F16" s="63">
        <f t="array" ref="F16">IFERROR(INDEX(DetallesDeLaFactura[],SMALL(IF(DetallesDeLaFactura[N.º de factura]=rngInvoice,ROW(DetallesDeLaFactura[])-ROW(DetallesDeLaFactura[#Headers])), ROW(3:3)), MATCH($F$14, DetallesDeLaFactura[#Headers], 0)),"")</f>
        <v>6</v>
      </c>
      <c r="G16" s="63">
        <f t="array" ref="G16">IFERROR(INDEX(DetallesDeLaFactura[],SMALL(IF(DetallesDeLaFactura[N.º de factura]=rngInvoice,ROW(DetallesDeLaFactura[])-ROW(DetallesDeLaFactura[#Headers])), ROW(3:3)), MATCH($G$14, DetallesDeLaFactura[#Headers], 0)),"")</f>
        <v>7</v>
      </c>
      <c r="H16" s="65">
        <f t="shared" ref="H16:H34" si="1">IFERROR((E16*F16)-G16,"")</f>
        <v>173</v>
      </c>
    </row>
    <row r="17" spans="2:8" s="24" customFormat="1" ht="21" customHeight="1">
      <c r="B17" s="35" t="str">
        <f t="array" ref="B17">IFERROR(INDEX(DetallesDeLaFactura[],SMALL(IF(DetallesDeLaFactura[N.º de factura]=rngInvoice,ROW(DetallesDeLaFactura[])-ROW(DetallesDeLaFactura[#Headers])), ROW(4:4)), MATCH($B$14, DetallesDeLaFactura[#Headers], 0)),"")</f>
        <v>Z4570</v>
      </c>
      <c r="C17" s="75">
        <v>7790187341753</v>
      </c>
      <c r="D17" s="40" t="s">
        <v>109</v>
      </c>
      <c r="E17" s="35">
        <f t="array" ref="E17">IFERROR(INDEX(DetallesDeLaFactura[],SMALL(IF(DetallesDeLaFactura[N.º de factura]=rngInvoice,ROW(DetallesDeLaFactura[])-ROW(DetallesDeLaFactura[#Headers])), ROW(4:4)), MATCH($E$14, DetallesDeLaFactura[#Headers], 0)),"")</f>
        <v>40</v>
      </c>
      <c r="F17" s="63">
        <f t="array" ref="F17">IFERROR(INDEX(DetallesDeLaFactura[],SMALL(IF(DetallesDeLaFactura[N.º de factura]=rngInvoice,ROW(DetallesDeLaFactura[])-ROW(DetallesDeLaFactura[#Headers])), ROW(4:4)), MATCH($F$14, DetallesDeLaFactura[#Headers], 0)),"")</f>
        <v>7</v>
      </c>
      <c r="G17" s="63">
        <f t="array" ref="G17">IFERROR(INDEX(DetallesDeLaFactura[],SMALL(IF(DetallesDeLaFactura[N.º de factura]=rngInvoice,ROW(DetallesDeLaFactura[])-ROW(DetallesDeLaFactura[#Headers])), ROW(4:4)), MATCH($G$14, DetallesDeLaFactura[#Headers], 0)),"")</f>
        <v>0</v>
      </c>
      <c r="H17" s="65">
        <f t="shared" si="1"/>
        <v>280</v>
      </c>
    </row>
    <row r="18" spans="2:8" s="24" customFormat="1" ht="21" customHeight="1">
      <c r="B18" s="35" t="str">
        <f t="array" ref="B18">IFERROR(INDEX(DetallesDeLaFactura[],SMALL(IF(DetallesDeLaFactura[N.º de factura]=rngInvoice,ROW(DetallesDeLaFactura[])-ROW(DetallesDeLaFactura[#Headers])), ROW(5:5)), MATCH($B$14, DetallesDeLaFactura[#Headers], 0)),"")</f>
        <v>Z4571</v>
      </c>
      <c r="C18" s="75">
        <v>7790187342316</v>
      </c>
      <c r="D18" s="40" t="s">
        <v>110</v>
      </c>
      <c r="E18" s="35">
        <f t="array" ref="E18">IFERROR(INDEX(DetallesDeLaFactura[],SMALL(IF(DetallesDeLaFactura[N.º de factura]=rngInvoice,ROW(DetallesDeLaFactura[])-ROW(DetallesDeLaFactura[#Headers])), ROW(5:5)), MATCH($E$14, DetallesDeLaFactura[#Headers], 0)),"")</f>
        <v>10</v>
      </c>
      <c r="F18" s="63">
        <f t="array" ref="F18">IFERROR(INDEX(DetallesDeLaFactura[],SMALL(IF(DetallesDeLaFactura[N.º de factura]=rngInvoice,ROW(DetallesDeLaFactura[])-ROW(DetallesDeLaFactura[#Headers])), ROW(5:5)), MATCH($F$14, DetallesDeLaFactura[#Headers], 0)),"")</f>
        <v>4</v>
      </c>
      <c r="G18" s="63">
        <f t="array" ref="G18">IFERROR(INDEX(DetallesDeLaFactura[],SMALL(IF(DetallesDeLaFactura[N.º de factura]=rngInvoice,ROW(DetallesDeLaFactura[])-ROW(DetallesDeLaFactura[#Headers])), ROW(5:5)), MATCH($G$14, DetallesDeLaFactura[#Headers], 0)),"")</f>
        <v>0</v>
      </c>
      <c r="H18" s="65">
        <f t="shared" si="1"/>
        <v>40</v>
      </c>
    </row>
    <row r="19" spans="2:8" s="24" customFormat="1" ht="21" customHeight="1">
      <c r="B19" s="35" t="str">
        <f t="array" ref="B19">IFERROR(INDEX(DetallesDeLaFactura[],SMALL(IF(DetallesDeLaFactura[N.º de factura]=rngInvoice,ROW(DetallesDeLaFactura[])-ROW(DetallesDeLaFactura[#Headers])), ROW(6:6)), MATCH($B$14, DetallesDeLaFactura[#Headers], 0)),"")</f>
        <v>Z4572</v>
      </c>
      <c r="C19" s="75">
        <v>7790187339668</v>
      </c>
      <c r="D19" s="40" t="s">
        <v>111</v>
      </c>
      <c r="E19" s="35">
        <f t="array" ref="E19">IFERROR(INDEX(DetallesDeLaFactura[],SMALL(IF(DetallesDeLaFactura[N.º de factura]=rngInvoice,ROW(DetallesDeLaFactura[])-ROW(DetallesDeLaFactura[#Headers])), ROW(6:6)), MATCH($E$14, DetallesDeLaFactura[#Headers], 0)),"")</f>
        <v>5</v>
      </c>
      <c r="F19" s="63">
        <f t="array" ref="F19">IFERROR(INDEX(DetallesDeLaFactura[],SMALL(IF(DetallesDeLaFactura[N.º de factura]=rngInvoice,ROW(DetallesDeLaFactura[])-ROW(DetallesDeLaFactura[#Headers])), ROW(6:6)), MATCH($F$14, DetallesDeLaFactura[#Headers], 0)),"")</f>
        <v>8</v>
      </c>
      <c r="G19" s="63">
        <f t="array" ref="G19">IFERROR(INDEX(DetallesDeLaFactura[],SMALL(IF(DetallesDeLaFactura[N.º de factura]=rngInvoice,ROW(DetallesDeLaFactura[])-ROW(DetallesDeLaFactura[#Headers])), ROW(6:6)), MATCH($G$14, DetallesDeLaFactura[#Headers], 0)),"")</f>
        <v>0</v>
      </c>
      <c r="H19" s="65">
        <f t="shared" si="1"/>
        <v>40</v>
      </c>
    </row>
    <row r="20" spans="2:8" s="24" customFormat="1" ht="21" customHeight="1">
      <c r="B20" s="35" t="str">
        <f t="array" ref="B20">IFERROR(INDEX(DetallesDeLaFactura[],SMALL(IF(DetallesDeLaFactura[N.º de factura]=rngInvoice,ROW(DetallesDeLaFactura[])-ROW(DetallesDeLaFactura[#Headers])), ROW(7:7)), MATCH($B$14, DetallesDeLaFactura[#Headers], 0)),"")</f>
        <v>Z4573</v>
      </c>
      <c r="C20" s="75">
        <v>7790187341852</v>
      </c>
      <c r="D20" s="40" t="s">
        <v>112</v>
      </c>
      <c r="E20" s="35">
        <f t="array" ref="E20">IFERROR(INDEX(DetallesDeLaFactura[],SMALL(IF(DetallesDeLaFactura[N.º de factura]=rngInvoice,ROW(DetallesDeLaFactura[])-ROW(DetallesDeLaFactura[#Headers])), ROW(7:7)), MATCH($E$14, DetallesDeLaFactura[#Headers], 0)),"")</f>
        <v>70</v>
      </c>
      <c r="F20" s="63">
        <f t="array" ref="F20">IFERROR(INDEX(DetallesDeLaFactura[],SMALL(IF(DetallesDeLaFactura[N.º de factura]=rngInvoice,ROW(DetallesDeLaFactura[])-ROW(DetallesDeLaFactura[#Headers])), ROW(7:7)), MATCH($F$14, DetallesDeLaFactura[#Headers], 0)),"")</f>
        <v>6</v>
      </c>
      <c r="G20" s="63">
        <f t="array" ref="G20">IFERROR(INDEX(DetallesDeLaFactura[],SMALL(IF(DetallesDeLaFactura[N.º de factura]=rngInvoice,ROW(DetallesDeLaFactura[])-ROW(DetallesDeLaFactura[#Headers])), ROW(7:7)), MATCH($G$14, DetallesDeLaFactura[#Headers], 0)),"")</f>
        <v>0</v>
      </c>
      <c r="H20" s="65">
        <f t="shared" si="1"/>
        <v>420</v>
      </c>
    </row>
    <row r="21" spans="2:8" s="24" customFormat="1" ht="21" customHeight="1">
      <c r="B21" s="35" t="str">
        <f t="array" ref="B21">IFERROR(INDEX(DetallesDeLaFactura[],SMALL(IF(DetallesDeLaFactura[N.º de factura]=rngInvoice,ROW(DetallesDeLaFactura[])-ROW(DetallesDeLaFactura[#Headers])), ROW(8:8)), MATCH($B$14, DetallesDeLaFactura[#Headers], 0)),"")</f>
        <v>Z4574</v>
      </c>
      <c r="C21" s="75">
        <v>7790187339811</v>
      </c>
      <c r="D21" s="40" t="s">
        <v>113</v>
      </c>
      <c r="E21" s="35">
        <f t="array" ref="E21">IFERROR(INDEX(DetallesDeLaFactura[],SMALL(IF(DetallesDeLaFactura[N.º de factura]=rngInvoice,ROW(DetallesDeLaFactura[])-ROW(DetallesDeLaFactura[#Headers])), ROW(8:8)), MATCH($E$14, DetallesDeLaFactura[#Headers], 0)),"")</f>
        <v>25</v>
      </c>
      <c r="F21" s="63">
        <f t="array" ref="F21">IFERROR(INDEX(DetallesDeLaFactura[],SMALL(IF(DetallesDeLaFactura[N.º de factura]=rngInvoice,ROW(DetallesDeLaFactura[])-ROW(DetallesDeLaFactura[#Headers])), ROW(8:8)), MATCH($F$14, DetallesDeLaFactura[#Headers], 0)),"")</f>
        <v>4</v>
      </c>
      <c r="G21" s="63">
        <f t="array" ref="G21">IFERROR(INDEX(DetallesDeLaFactura[],SMALL(IF(DetallesDeLaFactura[N.º de factura]=rngInvoice,ROW(DetallesDeLaFactura[])-ROW(DetallesDeLaFactura[#Headers])), ROW(8:8)), MATCH($G$14, DetallesDeLaFactura[#Headers], 0)),"")</f>
        <v>0</v>
      </c>
      <c r="H21" s="65">
        <f t="shared" si="1"/>
        <v>100</v>
      </c>
    </row>
    <row r="22" spans="2:8" s="24" customFormat="1" ht="21" customHeight="1">
      <c r="B22" s="35" t="str">
        <f t="array" ref="B22">IFERROR(INDEX(DetallesDeLaFactura[],SMALL(IF(DetallesDeLaFactura[N.º de factura]=rngInvoice,ROW(DetallesDeLaFactura[])-ROW(DetallesDeLaFactura[#Headers])), ROW(9:9)), MATCH($B$14, DetallesDeLaFactura[#Headers], 0)),"")</f>
        <v>Z4575</v>
      </c>
      <c r="C22" s="75">
        <v>7790187339835</v>
      </c>
      <c r="D22" s="40" t="s">
        <v>114</v>
      </c>
      <c r="E22" s="35">
        <f t="array" ref="E22">IFERROR(INDEX(DetallesDeLaFactura[],SMALL(IF(DetallesDeLaFactura[N.º de factura]=rngInvoice,ROW(DetallesDeLaFactura[])-ROW(DetallesDeLaFactura[#Headers])), ROW(9:9)), MATCH($E$14, DetallesDeLaFactura[#Headers], 0)),"")</f>
        <v>5</v>
      </c>
      <c r="F22" s="63">
        <f t="array" ref="F22">IFERROR(INDEX(DetallesDeLaFactura[],SMALL(IF(DetallesDeLaFactura[N.º de factura]=rngInvoice,ROW(DetallesDeLaFactura[])-ROW(DetallesDeLaFactura[#Headers])), ROW(9:9)), MATCH($F$14, DetallesDeLaFactura[#Headers], 0)),"")</f>
        <v>7</v>
      </c>
      <c r="G22" s="63">
        <f t="array" ref="G22">IFERROR(INDEX(DetallesDeLaFactura[],SMALL(IF(DetallesDeLaFactura[N.º de factura]=rngInvoice,ROW(DetallesDeLaFactura[])-ROW(DetallesDeLaFactura[#Headers])), ROW(9:9)), MATCH($G$14, DetallesDeLaFactura[#Headers], 0)),"")</f>
        <v>3</v>
      </c>
      <c r="H22" s="65">
        <f t="shared" si="1"/>
        <v>32</v>
      </c>
    </row>
    <row r="23" spans="2:8" s="24" customFormat="1" ht="21" customHeight="1">
      <c r="B23" s="35" t="str">
        <f t="array" ref="B23">IFERROR(INDEX(DetallesDeLaFactura[],SMALL(IF(DetallesDeLaFactura[N.º de factura]=rngInvoice,ROW(DetallesDeLaFactura[])-ROW(DetallesDeLaFactura[#Headers])), ROW(10:10)), MATCH($B$14, DetallesDeLaFactura[#Headers], 0)),"")</f>
        <v>Z4576</v>
      </c>
      <c r="C23" s="75">
        <v>7896181215752</v>
      </c>
      <c r="D23" s="40" t="s">
        <v>115</v>
      </c>
      <c r="E23" s="35">
        <f t="array" ref="E23">IFERROR(INDEX(DetallesDeLaFactura[],SMALL(IF(DetallesDeLaFactura[N.º de factura]=rngInvoice,ROW(DetallesDeLaFactura[])-ROW(DetallesDeLaFactura[#Headers])), ROW(10:10)), MATCH($E$14, DetallesDeLaFactura[#Headers], 0)),"")</f>
        <v>80</v>
      </c>
      <c r="F23" s="63">
        <f t="array" ref="F23">IFERROR(INDEX(DetallesDeLaFactura[],SMALL(IF(DetallesDeLaFactura[N.º de factura]=rngInvoice,ROW(DetallesDeLaFactura[])-ROW(DetallesDeLaFactura[#Headers])), ROW(10:10)), MATCH($F$14, DetallesDeLaFactura[#Headers], 0)),"")</f>
        <v>1</v>
      </c>
      <c r="G23" s="63">
        <f t="array" ref="G23">IFERROR(INDEX(DetallesDeLaFactura[],SMALL(IF(DetallesDeLaFactura[N.º de factura]=rngInvoice,ROW(DetallesDeLaFactura[])-ROW(DetallesDeLaFactura[#Headers])), ROW(10:10)), MATCH($G$14, DetallesDeLaFactura[#Headers], 0)),"")</f>
        <v>0</v>
      </c>
      <c r="H23" s="65">
        <f t="shared" si="1"/>
        <v>80</v>
      </c>
    </row>
    <row r="24" spans="2:8" s="24" customFormat="1" ht="21" customHeight="1">
      <c r="B24" s="35" t="str">
        <f t="array" ref="B24">IFERROR(INDEX(DetallesDeLaFactura[],SMALL(IF(DetallesDeLaFactura[N.º de factura]=rngInvoice,ROW(DetallesDeLaFactura[])-ROW(DetallesDeLaFactura[#Headers])), ROW(11:11)), MATCH($B$14, DetallesDeLaFactura[#Headers], 0)),"")</f>
        <v>Z4577</v>
      </c>
      <c r="C24" s="75">
        <v>7896181215769</v>
      </c>
      <c r="D24" s="40" t="s">
        <v>116</v>
      </c>
      <c r="E24" s="35">
        <f t="array" ref="E24">IFERROR(INDEX(DetallesDeLaFactura[],SMALL(IF(DetallesDeLaFactura[N.º de factura]=rngInvoice,ROW(DetallesDeLaFactura[])-ROW(DetallesDeLaFactura[#Headers])), ROW(11:11)), MATCH($E$14, DetallesDeLaFactura[#Headers], 0)),"")</f>
        <v>65</v>
      </c>
      <c r="F24" s="63">
        <f t="array" ref="F24">IFERROR(INDEX(DetallesDeLaFactura[],SMALL(IF(DetallesDeLaFactura[N.º de factura]=rngInvoice,ROW(DetallesDeLaFactura[])-ROW(DetallesDeLaFactura[#Headers])), ROW(11:11)), MATCH($F$14, DetallesDeLaFactura[#Headers], 0)),"")</f>
        <v>7</v>
      </c>
      <c r="G24" s="63">
        <f t="array" ref="G24">IFERROR(INDEX(DetallesDeLaFactura[],SMALL(IF(DetallesDeLaFactura[N.º de factura]=rngInvoice,ROW(DetallesDeLaFactura[])-ROW(DetallesDeLaFactura[#Headers])), ROW(11:11)), MATCH($G$14, DetallesDeLaFactura[#Headers], 0)),"")</f>
        <v>0</v>
      </c>
      <c r="H24" s="65">
        <f t="shared" si="1"/>
        <v>455</v>
      </c>
    </row>
    <row r="25" spans="2:8" s="24" customFormat="1" ht="21" customHeight="1">
      <c r="B25" s="35" t="str">
        <f t="array" ref="B25">IFERROR(INDEX(DetallesDeLaFactura[],SMALL(IF(DetallesDeLaFactura[N.º de factura]=rngInvoice,ROW(DetallesDeLaFactura[])-ROW(DetallesDeLaFactura[#Headers])), ROW(12:12)), MATCH($B$14, DetallesDeLaFactura[#Headers], 0)),"")</f>
        <v>Z4578</v>
      </c>
      <c r="C25" s="75">
        <v>7896181298991</v>
      </c>
      <c r="D25" s="40" t="s">
        <v>117</v>
      </c>
      <c r="E25" s="35">
        <f t="array" ref="E25">IFERROR(INDEX(DetallesDeLaFactura[],SMALL(IF(DetallesDeLaFactura[N.º de factura]=rngInvoice,ROW(DetallesDeLaFactura[])-ROW(DetallesDeLaFactura[#Headers])), ROW(12:12)), MATCH($E$14, DetallesDeLaFactura[#Headers], 0)),"")</f>
        <v>44</v>
      </c>
      <c r="F25" s="63">
        <f t="array" ref="F25">IFERROR(INDEX(DetallesDeLaFactura[],SMALL(IF(DetallesDeLaFactura[N.º de factura]=rngInvoice,ROW(DetallesDeLaFactura[])-ROW(DetallesDeLaFactura[#Headers])), ROW(12:12)), MATCH($F$14, DetallesDeLaFactura[#Headers], 0)),"")</f>
        <v>1</v>
      </c>
      <c r="G25" s="63">
        <f t="array" ref="G25">IFERROR(INDEX(DetallesDeLaFactura[],SMALL(IF(DetallesDeLaFactura[N.º de factura]=rngInvoice,ROW(DetallesDeLaFactura[])-ROW(DetallesDeLaFactura[#Headers])), ROW(12:12)), MATCH($G$14, DetallesDeLaFactura[#Headers], 0)),"")</f>
        <v>0</v>
      </c>
      <c r="H25" s="65">
        <f t="shared" si="1"/>
        <v>44</v>
      </c>
    </row>
    <row r="26" spans="2:8" s="24" customFormat="1" ht="21" customHeight="1">
      <c r="B26" s="35" t="str">
        <f t="array" ref="B26">IFERROR(INDEX(DetallesDeLaFactura[],SMALL(IF(DetallesDeLaFactura[N.º de factura]=rngInvoice,ROW(DetallesDeLaFactura[])-ROW(DetallesDeLaFactura[#Headers])), ROW(13:13)), MATCH($B$14, DetallesDeLaFactura[#Headers], 0)),"")</f>
        <v/>
      </c>
      <c r="C26" s="74"/>
      <c r="D26" s="40" t="str">
        <f t="array" ref="D26">IFERROR(INDEX(DetallesDeLaFactura[],SMALL(IF(DetallesDeLaFactura[N.º de factura]=rngInvoice,ROW(DetallesDeLaFactura[])-ROW(DetallesDeLaFactura[#Headers])), ROW(13:13)), MATCH($D$14, DetallesDeLaFactura[#Headers], 0)),"")</f>
        <v/>
      </c>
      <c r="E26" s="35" t="str">
        <f t="array" ref="E26">IFERROR(INDEX(DetallesDeLaFactura[],SMALL(IF(DetallesDeLaFactura[N.º de factura]=rngInvoice,ROW(DetallesDeLaFactura[])-ROW(DetallesDeLaFactura[#Headers])), ROW(13:13)), MATCH($E$14, DetallesDeLaFactura[#Headers], 0)),"")</f>
        <v/>
      </c>
      <c r="F26" s="63" t="str">
        <f t="array" ref="F26">IFERROR(INDEX(DetallesDeLaFactura[],SMALL(IF(DetallesDeLaFactura[N.º de factura]=rngInvoice,ROW(DetallesDeLaFactura[])-ROW(DetallesDeLaFactura[#Headers])), ROW(13:13)), MATCH($F$14, DetallesDeLaFactura[#Headers], 0)),"")</f>
        <v/>
      </c>
      <c r="G26" s="63" t="str">
        <f t="array" ref="G26">IFERROR(INDEX(DetallesDeLaFactura[],SMALL(IF(DetallesDeLaFactura[N.º de factura]=rngInvoice,ROW(DetallesDeLaFactura[])-ROW(DetallesDeLaFactura[#Headers])), ROW(13:13)), MATCH($G$14, DetallesDeLaFactura[#Headers], 0)),"")</f>
        <v/>
      </c>
      <c r="H26" s="65" t="str">
        <f t="shared" si="1"/>
        <v/>
      </c>
    </row>
    <row r="27" spans="2:8" s="24" customFormat="1" ht="21" customHeight="1">
      <c r="B27" s="35" t="str">
        <f t="array" ref="B27">IFERROR(INDEX(DetallesDeLaFactura[],SMALL(IF(DetallesDeLaFactura[N.º de factura]=rngInvoice,ROW(DetallesDeLaFactura[])-ROW(DetallesDeLaFactura[#Headers])), ROW(14:14)), MATCH($B$14, DetallesDeLaFactura[#Headers], 0)),"")</f>
        <v/>
      </c>
      <c r="C27" s="74"/>
      <c r="D27" s="40" t="str">
        <f t="array" ref="D27">IFERROR(INDEX(DetallesDeLaFactura[],SMALL(IF(DetallesDeLaFactura[N.º de factura]=rngInvoice,ROW(DetallesDeLaFactura[])-ROW(DetallesDeLaFactura[#Headers])), ROW(14:14)), MATCH($D$14, DetallesDeLaFactura[#Headers], 0)),"")</f>
        <v/>
      </c>
      <c r="E27" s="35" t="str">
        <f t="array" ref="E27">IFERROR(INDEX(DetallesDeLaFactura[],SMALL(IF(DetallesDeLaFactura[N.º de factura]=rngInvoice,ROW(DetallesDeLaFactura[])-ROW(DetallesDeLaFactura[#Headers])), ROW(14:14)), MATCH($E$14, DetallesDeLaFactura[#Headers], 0)),"")</f>
        <v/>
      </c>
      <c r="F27" s="63" t="str">
        <f t="array" ref="F27">IFERROR(INDEX(DetallesDeLaFactura[],SMALL(IF(DetallesDeLaFactura[N.º de factura]=rngInvoice,ROW(DetallesDeLaFactura[])-ROW(DetallesDeLaFactura[#Headers])), ROW(14:14)), MATCH($F$14, DetallesDeLaFactura[#Headers], 0)),"")</f>
        <v/>
      </c>
      <c r="G27" s="63" t="str">
        <f t="array" ref="G27">IFERROR(INDEX(DetallesDeLaFactura[],SMALL(IF(DetallesDeLaFactura[N.º de factura]=rngInvoice,ROW(DetallesDeLaFactura[])-ROW(DetallesDeLaFactura[#Headers])), ROW(14:14)), MATCH($G$14, DetallesDeLaFactura[#Headers], 0)),"")</f>
        <v/>
      </c>
      <c r="H27" s="65" t="str">
        <f t="shared" si="1"/>
        <v/>
      </c>
    </row>
    <row r="28" spans="2:8" s="24" customFormat="1" ht="21" customHeight="1">
      <c r="B28" s="35" t="str">
        <f t="array" ref="B28">IFERROR(INDEX(DetallesDeLaFactura[],SMALL(IF(DetallesDeLaFactura[N.º de factura]=rngInvoice,ROW(DetallesDeLaFactura[])-ROW(DetallesDeLaFactura[#Headers])), ROW(15:15)), MATCH($B$14, DetallesDeLaFactura[#Headers], 0)),"")</f>
        <v/>
      </c>
      <c r="C28" s="74"/>
      <c r="D28" s="40" t="str">
        <f t="array" ref="D28">IFERROR(INDEX(DetallesDeLaFactura[],SMALL(IF(DetallesDeLaFactura[N.º de factura]=rngInvoice,ROW(DetallesDeLaFactura[])-ROW(DetallesDeLaFactura[#Headers])), ROW(15:15)), MATCH($D$14, DetallesDeLaFactura[#Headers], 0)),"")</f>
        <v/>
      </c>
      <c r="E28" s="35" t="str">
        <f t="array" ref="E28">IFERROR(INDEX(DetallesDeLaFactura[],SMALL(IF(DetallesDeLaFactura[N.º de factura]=rngInvoice,ROW(DetallesDeLaFactura[])-ROW(DetallesDeLaFactura[#Headers])), ROW(15:15)), MATCH($E$14, DetallesDeLaFactura[#Headers], 0)),"")</f>
        <v/>
      </c>
      <c r="F28" s="63" t="str">
        <f t="array" ref="F28">IFERROR(INDEX(DetallesDeLaFactura[],SMALL(IF(DetallesDeLaFactura[N.º de factura]=rngInvoice,ROW(DetallesDeLaFactura[])-ROW(DetallesDeLaFactura[#Headers])), ROW(15:15)), MATCH($F$14, DetallesDeLaFactura[#Headers], 0)),"")</f>
        <v/>
      </c>
      <c r="G28" s="63" t="str">
        <f t="array" ref="G28">IFERROR(INDEX(DetallesDeLaFactura[],SMALL(IF(DetallesDeLaFactura[N.º de factura]=rngInvoice,ROW(DetallesDeLaFactura[])-ROW(DetallesDeLaFactura[#Headers])), ROW(15:15)), MATCH($G$14, DetallesDeLaFactura[#Headers], 0)),"")</f>
        <v/>
      </c>
      <c r="H28" s="65" t="str">
        <f t="shared" si="1"/>
        <v/>
      </c>
    </row>
    <row r="29" spans="2:8" s="24" customFormat="1" ht="21" customHeight="1">
      <c r="B29" s="35" t="str">
        <f t="array" ref="B29">IFERROR(INDEX(DetallesDeLaFactura[],SMALL(IF(DetallesDeLaFactura[N.º de factura]=rngInvoice,ROW(DetallesDeLaFactura[])-ROW(DetallesDeLaFactura[#Headers])), ROW(16:16)), MATCH($B$14, DetallesDeLaFactura[#Headers], 0)),"")</f>
        <v/>
      </c>
      <c r="C29" s="74"/>
      <c r="D29" s="40" t="str">
        <f t="array" ref="D29">IFERROR(INDEX(DetallesDeLaFactura[],SMALL(IF(DetallesDeLaFactura[N.º de factura]=rngInvoice,ROW(DetallesDeLaFactura[])-ROW(DetallesDeLaFactura[#Headers])), ROW(16:16)), MATCH($D$14, DetallesDeLaFactura[#Headers], 0)),"")</f>
        <v/>
      </c>
      <c r="E29" s="35" t="str">
        <f t="array" ref="E29">IFERROR(INDEX(DetallesDeLaFactura[],SMALL(IF(DetallesDeLaFactura[N.º de factura]=rngInvoice,ROW(DetallesDeLaFactura[])-ROW(DetallesDeLaFactura[#Headers])), ROW(16:16)), MATCH($E$14, DetallesDeLaFactura[#Headers], 0)),"")</f>
        <v/>
      </c>
      <c r="F29" s="63" t="str">
        <f t="array" ref="F29">IFERROR(INDEX(DetallesDeLaFactura[],SMALL(IF(DetallesDeLaFactura[N.º de factura]=rngInvoice,ROW(DetallesDeLaFactura[])-ROW(DetallesDeLaFactura[#Headers])), ROW(16:16)), MATCH($F$14, DetallesDeLaFactura[#Headers], 0)),"")</f>
        <v/>
      </c>
      <c r="G29" s="63" t="str">
        <f t="array" ref="G29">IFERROR(INDEX(DetallesDeLaFactura[],SMALL(IF(DetallesDeLaFactura[N.º de factura]=rngInvoice,ROW(DetallesDeLaFactura[])-ROW(DetallesDeLaFactura[#Headers])), ROW(16:16)), MATCH($G$14, DetallesDeLaFactura[#Headers], 0)),"")</f>
        <v/>
      </c>
      <c r="H29" s="65" t="str">
        <f t="shared" si="1"/>
        <v/>
      </c>
    </row>
    <row r="30" spans="2:8" s="24" customFormat="1" ht="21" customHeight="1">
      <c r="B30" s="35" t="str">
        <f t="array" ref="B30">IFERROR(INDEX(DetallesDeLaFactura[],SMALL(IF(DetallesDeLaFactura[N.º de factura]=rngInvoice,ROW(DetallesDeLaFactura[])-ROW(DetallesDeLaFactura[#Headers])), ROW(17:17)), MATCH($B$14, DetallesDeLaFactura[#Headers], 0)),"")</f>
        <v/>
      </c>
      <c r="C30" s="74"/>
      <c r="D30" s="40" t="str">
        <f t="array" ref="D30">IFERROR(INDEX(DetallesDeLaFactura[],SMALL(IF(DetallesDeLaFactura[N.º de factura]=rngInvoice,ROW(DetallesDeLaFactura[])-ROW(DetallesDeLaFactura[#Headers])), ROW(17:17)), MATCH($D$14, DetallesDeLaFactura[#Headers], 0)),"")</f>
        <v/>
      </c>
      <c r="E30" s="35" t="str">
        <f t="array" ref="E30">IFERROR(INDEX(DetallesDeLaFactura[],SMALL(IF(DetallesDeLaFactura[N.º de factura]=rngInvoice,ROW(DetallesDeLaFactura[])-ROW(DetallesDeLaFactura[#Headers])), ROW(17:17)), MATCH($E$14, DetallesDeLaFactura[#Headers], 0)),"")</f>
        <v/>
      </c>
      <c r="F30" s="63" t="str">
        <f t="array" ref="F30">IFERROR(INDEX(DetallesDeLaFactura[],SMALL(IF(DetallesDeLaFactura[N.º de factura]=rngInvoice,ROW(DetallesDeLaFactura[])-ROW(DetallesDeLaFactura[#Headers])), ROW(17:17)), MATCH($F$14, DetallesDeLaFactura[#Headers], 0)),"")</f>
        <v/>
      </c>
      <c r="G30" s="63" t="str">
        <f t="array" ref="G30">IFERROR(INDEX(DetallesDeLaFactura[],SMALL(IF(DetallesDeLaFactura[N.º de factura]=rngInvoice,ROW(DetallesDeLaFactura[])-ROW(DetallesDeLaFactura[#Headers])), ROW(17:17)), MATCH($G$14, DetallesDeLaFactura[#Headers], 0)),"")</f>
        <v/>
      </c>
      <c r="H30" s="65" t="str">
        <f t="shared" si="1"/>
        <v/>
      </c>
    </row>
    <row r="31" spans="2:8" s="24" customFormat="1" ht="21" customHeight="1">
      <c r="B31" s="35" t="str">
        <f t="array" ref="B31">IFERROR(INDEX(DetallesDeLaFactura[],SMALL(IF(DetallesDeLaFactura[N.º de factura]=rngInvoice,ROW(DetallesDeLaFactura[])-ROW(DetallesDeLaFactura[#Headers])), ROW(18:18)), MATCH($B$14, DetallesDeLaFactura[#Headers], 0)),"")</f>
        <v/>
      </c>
      <c r="C31" s="74"/>
      <c r="D31" s="40" t="str">
        <f t="array" ref="D31">IFERROR(INDEX(DetallesDeLaFactura[],SMALL(IF(DetallesDeLaFactura[N.º de factura]=rngInvoice,ROW(DetallesDeLaFactura[])-ROW(DetallesDeLaFactura[#Headers])), ROW(18:18)), MATCH($D$14, DetallesDeLaFactura[#Headers], 0)),"")</f>
        <v/>
      </c>
      <c r="E31" s="35" t="str">
        <f t="array" ref="E31">IFERROR(INDEX(DetallesDeLaFactura[],SMALL(IF(DetallesDeLaFactura[N.º de factura]=rngInvoice,ROW(DetallesDeLaFactura[])-ROW(DetallesDeLaFactura[#Headers])), ROW(18:18)), MATCH($E$14, DetallesDeLaFactura[#Headers], 0)),"")</f>
        <v/>
      </c>
      <c r="F31" s="63" t="str">
        <f t="array" ref="F31">IFERROR(INDEX(DetallesDeLaFactura[],SMALL(IF(DetallesDeLaFactura[N.º de factura]=rngInvoice,ROW(DetallesDeLaFactura[])-ROW(DetallesDeLaFactura[#Headers])), ROW(18:18)), MATCH($F$14, DetallesDeLaFactura[#Headers], 0)),"")</f>
        <v/>
      </c>
      <c r="G31" s="63" t="str">
        <f t="array" ref="G31">IFERROR(INDEX(DetallesDeLaFactura[],SMALL(IF(DetallesDeLaFactura[N.º de factura]=rngInvoice,ROW(DetallesDeLaFactura[])-ROW(DetallesDeLaFactura[#Headers])), ROW(18:18)), MATCH($G$14, DetallesDeLaFactura[#Headers], 0)),"")</f>
        <v/>
      </c>
      <c r="H31" s="65" t="str">
        <f t="shared" si="1"/>
        <v/>
      </c>
    </row>
    <row r="32" spans="2:8" s="24" customFormat="1" ht="21" customHeight="1">
      <c r="B32" s="35" t="str">
        <f t="array" ref="B32">IFERROR(INDEX(DetallesDeLaFactura[],SMALL(IF(DetallesDeLaFactura[N.º de factura]=rngInvoice,ROW(DetallesDeLaFactura[])-ROW(DetallesDeLaFactura[#Headers])), ROW(19:19)), MATCH($B$14, DetallesDeLaFactura[#Headers], 0)),"")</f>
        <v/>
      </c>
      <c r="C32" s="74"/>
      <c r="D32" s="40" t="str">
        <f t="array" ref="D32">IFERROR(INDEX(DetallesDeLaFactura[],SMALL(IF(DetallesDeLaFactura[N.º de factura]=rngInvoice,ROW(DetallesDeLaFactura[])-ROW(DetallesDeLaFactura[#Headers])), ROW(19:19)), MATCH($D$14, DetallesDeLaFactura[#Headers], 0)),"")</f>
        <v/>
      </c>
      <c r="E32" s="35" t="str">
        <f t="array" ref="E32">IFERROR(INDEX(DetallesDeLaFactura[],SMALL(IF(DetallesDeLaFactura[N.º de factura]=rngInvoice,ROW(DetallesDeLaFactura[])-ROW(DetallesDeLaFactura[#Headers])), ROW(19:19)), MATCH($E$14, DetallesDeLaFactura[#Headers], 0)),"")</f>
        <v/>
      </c>
      <c r="F32" s="63" t="str">
        <f t="array" ref="F32">IFERROR(INDEX(DetallesDeLaFactura[],SMALL(IF(DetallesDeLaFactura[N.º de factura]=rngInvoice,ROW(DetallesDeLaFactura[])-ROW(DetallesDeLaFactura[#Headers])), ROW(19:19)), MATCH($F$14, DetallesDeLaFactura[#Headers], 0)),"")</f>
        <v/>
      </c>
      <c r="G32" s="63" t="str">
        <f t="array" ref="G32">IFERROR(INDEX(DetallesDeLaFactura[],SMALL(IF(DetallesDeLaFactura[N.º de factura]=rngInvoice,ROW(DetallesDeLaFactura[])-ROW(DetallesDeLaFactura[#Headers])), ROW(19:19)), MATCH($G$14, DetallesDeLaFactura[#Headers], 0)),"")</f>
        <v/>
      </c>
      <c r="H32" s="65" t="str">
        <f t="shared" si="1"/>
        <v/>
      </c>
    </row>
    <row r="33" spans="2:8" s="24" customFormat="1" ht="21" customHeight="1">
      <c r="B33" s="35" t="str">
        <f t="array" ref="B33">IFERROR(INDEX(DetallesDeLaFactura[],SMALL(IF(DetallesDeLaFactura[N.º de factura]=rngInvoice,ROW(DetallesDeLaFactura[])-ROW(DetallesDeLaFactura[#Headers])), ROW(20:20)), MATCH($B$14, DetallesDeLaFactura[#Headers], 0)),"")</f>
        <v/>
      </c>
      <c r="C33" s="74"/>
      <c r="D33" s="40" t="str">
        <f t="array" ref="D33">IFERROR(INDEX(DetallesDeLaFactura[],SMALL(IF(DetallesDeLaFactura[N.º de factura]=rngInvoice,ROW(DetallesDeLaFactura[])-ROW(DetallesDeLaFactura[#Headers])), ROW(20:20)), MATCH($D$14, DetallesDeLaFactura[#Headers], 0)),"")</f>
        <v/>
      </c>
      <c r="E33" s="35" t="str">
        <f t="array" ref="E33">IFERROR(INDEX(DetallesDeLaFactura[],SMALL(IF(DetallesDeLaFactura[N.º de factura]=rngInvoice,ROW(DetallesDeLaFactura[])-ROW(DetallesDeLaFactura[#Headers])), ROW(20:20)), MATCH($E$14, DetallesDeLaFactura[#Headers], 0)),"")</f>
        <v/>
      </c>
      <c r="F33" s="63" t="str">
        <f t="array" ref="F33">IFERROR(INDEX(DetallesDeLaFactura[],SMALL(IF(DetallesDeLaFactura[N.º de factura]=rngInvoice,ROW(DetallesDeLaFactura[])-ROW(DetallesDeLaFactura[#Headers])), ROW(20:20)), MATCH($F$14, DetallesDeLaFactura[#Headers], 0)),"")</f>
        <v/>
      </c>
      <c r="G33" s="63" t="str">
        <f t="array" ref="G33">IFERROR(INDEX(DetallesDeLaFactura[],SMALL(IF(DetallesDeLaFactura[N.º de factura]=rngInvoice,ROW(DetallesDeLaFactura[])-ROW(DetallesDeLaFactura[#Headers])), ROW(20:20)), MATCH($G$14, DetallesDeLaFactura[#Headers], 0)),"")</f>
        <v/>
      </c>
      <c r="H33" s="65" t="str">
        <f t="shared" si="1"/>
        <v/>
      </c>
    </row>
    <row r="34" spans="2:8" s="24" customFormat="1" ht="21" customHeight="1">
      <c r="B34" s="35" t="str">
        <f t="array" ref="B34">IFERROR(INDEX(DetallesDeLaFactura[],SMALL(IF(DetallesDeLaFactura[N.º de factura]=rngInvoice,ROW(DetallesDeLaFactura[])-ROW(DetallesDeLaFactura[#Headers])), ROW(21:21)), MATCH($B$14, DetallesDeLaFactura[#Headers], 0)),"")</f>
        <v/>
      </c>
      <c r="C34" s="74"/>
      <c r="D34" s="40" t="str">
        <f t="array" ref="D34">IFERROR(INDEX(DetallesDeLaFactura[],SMALL(IF(DetallesDeLaFactura[N.º de factura]=rngInvoice,ROW(DetallesDeLaFactura[])-ROW(DetallesDeLaFactura[#Headers])), ROW(21:21)), MATCH($D$14, DetallesDeLaFactura[#Headers], 0)),"")</f>
        <v/>
      </c>
      <c r="E34" s="35" t="str">
        <f t="array" ref="E34">IFERROR(INDEX(DetallesDeLaFactura[],SMALL(IF(DetallesDeLaFactura[N.º de factura]=rngInvoice,ROW(DetallesDeLaFactura[])-ROW(DetallesDeLaFactura[#Headers])), ROW(21:21)), MATCH($E$14, DetallesDeLaFactura[#Headers], 0)),"")</f>
        <v/>
      </c>
      <c r="F34" s="63" t="str">
        <f t="array" ref="F34">IFERROR(INDEX(DetallesDeLaFactura[],SMALL(IF(DetallesDeLaFactura[N.º de factura]=rngInvoice,ROW(DetallesDeLaFactura[])-ROW(DetallesDeLaFactura[#Headers])), ROW(21:21)), MATCH($F$14, DetallesDeLaFactura[#Headers], 0)),"")</f>
        <v/>
      </c>
      <c r="G34" s="63" t="str">
        <f t="array" ref="G34">IFERROR(INDEX(DetallesDeLaFactura[],SMALL(IF(DetallesDeLaFactura[N.º de factura]=rngInvoice,ROW(DetallesDeLaFactura[])-ROW(DetallesDeLaFactura[#Headers])), ROW(21:21)), MATCH($G$14, DetallesDeLaFactura[#Headers], 0)),"")</f>
        <v/>
      </c>
      <c r="H34" s="65" t="str">
        <f t="shared" si="1"/>
        <v/>
      </c>
    </row>
    <row r="36" spans="2:8" s="24" customFormat="1" ht="32.1" customHeight="1" thickBot="1">
      <c r="E36" s="88" t="s">
        <v>10</v>
      </c>
      <c r="F36" s="89"/>
      <c r="G36" s="66">
        <f>SUM(ProjectInvoice[Precio])</f>
        <v>1819</v>
      </c>
    </row>
    <row r="37" spans="2:8" s="24" customFormat="1" ht="32.1" customHeight="1" thickBot="1">
      <c r="B37" s="87" t="s">
        <v>1</v>
      </c>
      <c r="C37" s="87"/>
      <c r="D37" s="47"/>
      <c r="E37" s="83" t="str">
        <f>IFERROR("Impuesto sobre las ventas (" &amp; TEXT(VLOOKUP(rngInvoice,FacturasPrincipales[],5),"0.00%") &amp; ")","Tasa de impuesto sobre las ventas")</f>
        <v>Impuesto sobre las ventas (009%)</v>
      </c>
      <c r="F37" s="84"/>
      <c r="G37" s="67">
        <f>IFERROR(G36*VLOOKUP(rngInvoice,FacturasPrincipales[],5),0)</f>
        <v>159.16249999999999</v>
      </c>
    </row>
    <row r="38" spans="2:8" s="24" customFormat="1" ht="32.1" customHeight="1" thickBot="1">
      <c r="E38" s="90" t="s">
        <v>11</v>
      </c>
      <c r="F38" s="91"/>
      <c r="G38" s="67">
        <f>IFERROR(VLOOKUP(rngInvoice,FacturasPrincipales[],6),0)</f>
        <v>0</v>
      </c>
    </row>
    <row r="39" spans="2:8" s="24" customFormat="1" ht="32.1" customHeight="1" thickBot="1">
      <c r="B39" s="45" t="str">
        <f>"Hacer que todos los cheques se extiendan a nombre de "&amp;NombreEmpresa&amp;"."</f>
        <v>Hacer que todos los cheques se extiendan a nombre de NOMBRE DE SU EMPRESA.</v>
      </c>
      <c r="C39" s="5"/>
      <c r="D39" s="45"/>
      <c r="E39" s="83" t="s">
        <v>12</v>
      </c>
      <c r="F39" s="84"/>
      <c r="G39" s="67">
        <f>IFERROR(VLOOKUP(rngInvoice,FacturasPrincipales[],7),0)</f>
        <v>0</v>
      </c>
    </row>
    <row r="40" spans="2:8" ht="32.1" customHeight="1">
      <c r="B40" s="45" t="s">
        <v>2</v>
      </c>
      <c r="C40" s="80"/>
      <c r="D40" s="46"/>
      <c r="E40" s="85" t="s">
        <v>13</v>
      </c>
      <c r="F40" s="86"/>
      <c r="G40" s="68">
        <f>(G36+G37+G38)-G39</f>
        <v>1978.1624999999999</v>
      </c>
    </row>
  </sheetData>
  <sheetProtection formatCells="0" formatColumns="0" formatRows="0" selectLockedCells="1" sort="0"/>
  <mergeCells count="8">
    <mergeCell ref="D1:G1"/>
    <mergeCell ref="F4:G4"/>
    <mergeCell ref="E39:F39"/>
    <mergeCell ref="E40:F40"/>
    <mergeCell ref="B37:C37"/>
    <mergeCell ref="E36:F36"/>
    <mergeCell ref="E37:F37"/>
    <mergeCell ref="E38:F38"/>
  </mergeCells>
  <phoneticPr fontId="1" type="noConversion"/>
  <dataValidations count="10">
    <dataValidation type="list" allowBlank="1" showInputMessage="1" showErrorMessage="1" errorTitle="Datos no válidos" error="Por favor, seleccione el número de factura de esta lista. Si no se muestra su factura, compruebe la hoja de cálculo llamada Facturas - principales." prompt="Seleccione un N.º de factura y el formulario de factura se actualizará automáticamente con los detalles correspondientes de la factura de las pestañas Clientes Factura: principal y Detalles de factura." sqref="G9" xr:uid="{00000000-0002-0000-0000-000000000000}">
      <formula1>Invoice_No</formula1>
    </dataValidation>
    <dataValidation allowBlank="1" showInputMessage="1" showErrorMessage="1" promptTitle="Seguimiento de Factura de ventas" prompt="Use esta plantilla para mantener un registro de los clientes y facturas._x000a__x000a_Seleccione una factura en G9 y el formulario mostrará la info de la factura._x000a__x000a_Escriba los datos de los clientes y las facturas en las 3 pestañas siguientes." sqref="A1" xr:uid="{00000000-0002-0000-0000-000001000000}"/>
    <dataValidation allowBlank="1" showInputMessage="1" showErrorMessage="1" prompt="Actualice esta pestaña con el logotipo de su empresa, el nombre de la empresa, la dirección, el número de teléfono, el número de fax y la dirección de correo electrónico" sqref="C5" xr:uid="{00000000-0002-0000-0000-000002000000}"/>
    <dataValidation allowBlank="1" showInputMessage="1" showErrorMessage="1" prompt="Los datos en esta celda se actualizan automáticamente después de seleccionar el número de factura en la celda G9_x000a__x000a_" sqref="G10" xr:uid="{00000000-0002-0000-0000-000003000000}"/>
    <dataValidation allowBlank="1" showInputMessage="1" showErrorMessage="1" prompt="Escriba la dirección de la empresa" sqref="C6:C7" xr:uid="{00000000-0002-0000-0000-000004000000}"/>
    <dataValidation allowBlank="1" showInputMessage="1" showErrorMessage="1" prompt="Actualice esta celda con las condiciones de pago estándar" sqref="B37:C37" xr:uid="{00000000-0002-0000-0000-000006000000}"/>
    <dataValidation allowBlank="1" showInputMessage="1" showErrorMessage="1" prompt="Elimine la fila 1 cuando se agregue el servicio." sqref="A2" xr:uid="{00000000-0002-0000-0000-000007000000}"/>
    <dataValidation allowBlank="1" showInputMessage="1" showErrorMessage="1" prompt="Los datos en esta celda se actualizan automáticamente después de seleccionar el número de factura en la celda G9" sqref="C11" xr:uid="{00000000-0002-0000-0000-000009000000}"/>
    <dataValidation allowBlank="1" showInputMessage="1" showErrorMessage="1" prompt="Los datos en esta celda se actualizan automáticamente después de seleccionar el número de factura en la celda G9_x000a_" sqref="C10 C9 D9 D10 D11" xr:uid="{00000000-0002-0000-0000-00000A000000}"/>
    <dataValidation allowBlank="1" showInputMessage="1" showErrorMessage="1" prompt="Los datos en esta columna se actualizan automáticamente después de seleccionar el número de factura en la celda G9" sqref="B14:H14" xr:uid="{00000000-0002-0000-0000-000005000000}"/>
  </dataValidations>
  <hyperlinks>
    <hyperlink ref="D1" r:id="rId1" xr:uid="{00000000-0004-0000-0000-000000000000}"/>
    <hyperlink ref="D1:G1" r:id="rId2" display="¿Está cansado de hacer las facturas manualmente? ¿Quiere recibir el pago con anterioridad? Suscríbase hoy a Microsoft Invoicing" xr:uid="{97F0B5CC-E79A-4059-84B6-8851A7A21309}"/>
  </hyperlinks>
  <printOptions horizontalCentered="1"/>
  <pageMargins left="0.3" right="0.3" top="0" bottom="0.3" header="0" footer="0.3"/>
  <pageSetup paperSize="9" scale="74" orientation="portrait" horizontalDpi="300" verticalDpi="300" r:id="rId3"/>
  <headerFooter differentFirst="1" alignWithMargins="0">
    <oddFooter>Page &amp;P of &amp;N</oddFooter>
  </headerFooter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autoPageBreaks="0" fitToPage="1"/>
  </sheetPr>
  <dimension ref="A1:M7"/>
  <sheetViews>
    <sheetView showGridLines="0" zoomScaleNormal="100" workbookViewId="0"/>
  </sheetViews>
  <sheetFormatPr baseColWidth="10" defaultColWidth="9.109375" defaultRowHeight="21" customHeight="1"/>
  <cols>
    <col min="1" max="1" width="1.77734375" style="1" customWidth="1"/>
    <col min="2" max="2" width="20.77734375" style="2" hidden="1" customWidth="1"/>
    <col min="3" max="3" width="18" style="3" customWidth="1"/>
    <col min="4" max="4" width="23.5546875" style="4" customWidth="1"/>
    <col min="5" max="5" width="20.5546875" style="4" customWidth="1"/>
    <col min="6" max="6" width="24.77734375" style="4" customWidth="1"/>
    <col min="7" max="7" width="12.77734375" style="3" customWidth="1"/>
    <col min="8" max="8" width="12.77734375" style="5" customWidth="1"/>
    <col min="9" max="9" width="16.88671875" style="1" customWidth="1"/>
    <col min="10" max="10" width="18.77734375" style="6" customWidth="1"/>
    <col min="11" max="11" width="24.77734375" style="6" customWidth="1"/>
    <col min="12" max="12" width="18.77734375" style="6" customWidth="1"/>
    <col min="13" max="13" width="1.77734375" style="2" customWidth="1"/>
    <col min="14" max="16384" width="9.109375" style="2"/>
  </cols>
  <sheetData>
    <row r="1" spans="1:13" ht="12" customHeight="1" thickBot="1">
      <c r="M1" s="2" t="s">
        <v>19</v>
      </c>
    </row>
    <row r="2" spans="1:13" s="10" customFormat="1" ht="71.25" customHeight="1" thickTop="1" thickBot="1">
      <c r="B2" s="48"/>
      <c r="C2" s="51"/>
      <c r="D2" s="52"/>
      <c r="E2" s="52"/>
      <c r="F2" s="52"/>
      <c r="G2" s="53"/>
      <c r="H2" s="53"/>
      <c r="I2" s="62"/>
      <c r="J2" s="52"/>
      <c r="K2" s="52"/>
      <c r="L2" s="56"/>
    </row>
    <row r="3" spans="1:13" ht="21" customHeight="1" thickTop="1"/>
    <row r="4" spans="1:13" s="21" customFormat="1" ht="37.5" customHeight="1">
      <c r="B4" s="49" t="s">
        <v>20</v>
      </c>
      <c r="C4" s="43" t="s">
        <v>22</v>
      </c>
      <c r="D4" s="43" t="s">
        <v>23</v>
      </c>
      <c r="E4" s="43" t="s">
        <v>26</v>
      </c>
      <c r="F4" s="43" t="s">
        <v>29</v>
      </c>
      <c r="G4" s="43" t="s">
        <v>32</v>
      </c>
      <c r="H4" s="43" t="s">
        <v>35</v>
      </c>
      <c r="I4" s="43" t="s">
        <v>38</v>
      </c>
      <c r="J4" s="43" t="s">
        <v>39</v>
      </c>
      <c r="K4" s="43" t="s">
        <v>42</v>
      </c>
      <c r="L4" s="44" t="s">
        <v>44</v>
      </c>
    </row>
    <row r="5" spans="1:13" ht="21" customHeight="1">
      <c r="B5" s="7" t="str">
        <f t="shared" ref="B5:B6" si="0">C5&amp; " - "&amp;D5</f>
        <v xml:space="preserve">1 - Tailspin Toys </v>
      </c>
      <c r="C5" s="61">
        <v>1</v>
      </c>
      <c r="D5" s="4" t="s">
        <v>24</v>
      </c>
      <c r="E5" s="4" t="s">
        <v>27</v>
      </c>
      <c r="F5" s="4" t="s">
        <v>30</v>
      </c>
      <c r="G5" s="3" t="s">
        <v>33</v>
      </c>
      <c r="H5" s="5" t="s">
        <v>36</v>
      </c>
      <c r="I5" s="8">
        <v>12345</v>
      </c>
      <c r="J5" s="9" t="s">
        <v>40</v>
      </c>
      <c r="K5" s="69" t="s">
        <v>43</v>
      </c>
      <c r="L5" s="9" t="s">
        <v>45</v>
      </c>
    </row>
    <row r="6" spans="1:13" ht="21" customHeight="1">
      <c r="B6" s="7" t="str">
        <f t="shared" si="0"/>
        <v>2 - Contoso, Ltd</v>
      </c>
      <c r="C6" s="61">
        <v>2</v>
      </c>
      <c r="D6" s="4" t="s">
        <v>25</v>
      </c>
      <c r="E6" s="4" t="s">
        <v>28</v>
      </c>
      <c r="F6" s="4" t="s">
        <v>31</v>
      </c>
      <c r="G6" s="3" t="s">
        <v>34</v>
      </c>
      <c r="H6" s="5" t="s">
        <v>37</v>
      </c>
      <c r="I6" s="8">
        <v>98765</v>
      </c>
      <c r="J6" s="9" t="s">
        <v>41</v>
      </c>
      <c r="K6" s="69" t="s">
        <v>43</v>
      </c>
      <c r="L6" s="9" t="s">
        <v>46</v>
      </c>
    </row>
    <row r="7" spans="1:13" s="16" customFormat="1" ht="21" customHeight="1">
      <c r="A7" s="15"/>
      <c r="B7" s="16" t="s">
        <v>21</v>
      </c>
      <c r="C7" s="15" t="str">
        <f>"Clientes totales: "&amp;SUBTOTAL(103,CustomerList[Nº de compañía])</f>
        <v>Clientes totales: 2</v>
      </c>
      <c r="D7" s="17"/>
      <c r="E7" s="17"/>
      <c r="F7" s="17"/>
      <c r="G7" s="18"/>
      <c r="H7" s="19"/>
      <c r="I7" s="15"/>
      <c r="J7" s="20"/>
      <c r="K7" s="20"/>
      <c r="L7" s="20"/>
    </row>
  </sheetData>
  <sheetProtection formatCells="0" formatColumns="0" formatRows="0" insertColumns="0" insertRows="0" insertHyperlinks="0" deleteColumns="0" deleteRows="0" selectLockedCells="1" sort="0" autoFilter="0" pivotTables="0"/>
  <phoneticPr fontId="29" type="noConversion"/>
  <conditionalFormatting sqref="C5:C6">
    <cfRule type="duplicateValues" dxfId="3" priority="47"/>
  </conditionalFormatting>
  <conditionalFormatting sqref="D5:D6">
    <cfRule type="duplicateValues" dxfId="2" priority="48"/>
  </conditionalFormatting>
  <dataValidations count="2">
    <dataValidation allowBlank="1" showInputMessage="1" showErrorMessage="1" prompt="Escriba la información de sus clientes en esta pestaña._x000a__x000a_El número de empresa debe ser único para cada fila." sqref="A1" xr:uid="{00000000-0002-0000-0100-000000000000}"/>
    <dataValidation allowBlank="1" showInputMessage="1" showErrorMessage="1" prompt="Todos los números de empresa deben ser únicos._x000a__x000a_Las entradas duplicadas se resaltan con una fuente de color rojo." sqref="C4" xr:uid="{00000000-0002-0000-0100-000001000000}"/>
  </dataValidations>
  <hyperlinks>
    <hyperlink ref="K5" r:id="rId1" xr:uid="{00000000-0004-0000-0100-000000000000}"/>
    <hyperlink ref="K6" r:id="rId2" xr:uid="{00000000-0004-0000-0100-000001000000}"/>
  </hyperlinks>
  <printOptions horizontalCentered="1"/>
  <pageMargins left="0.3" right="0.3" top="0" bottom="0.3" header="0" footer="0.3"/>
  <pageSetup paperSize="9" orientation="portrait" horizontalDpi="300" verticalDpi="300" r:id="rId3"/>
  <headerFooter differentFirst="1" alignWithMargins="0">
    <oddFooter>Page &amp;P of &amp;N</oddFooter>
  </headerFooter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L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9.109375" defaultRowHeight="21" customHeight="1"/>
  <cols>
    <col min="1" max="1" width="1.77734375" style="11" customWidth="1"/>
    <col min="2" max="2" width="16.5546875" style="3" customWidth="1"/>
    <col min="3" max="3" width="16.33203125" style="4" customWidth="1"/>
    <col min="4" max="4" width="21" style="3" customWidth="1"/>
    <col min="5" max="5" width="24.77734375" style="4" customWidth="1"/>
    <col min="6" max="6" width="20" style="3" customWidth="1"/>
    <col min="7" max="7" width="12.77734375" style="3" customWidth="1"/>
    <col min="8" max="8" width="13.88671875" style="3" customWidth="1"/>
    <col min="9" max="9" width="20.109375" style="3" customWidth="1"/>
    <col min="10" max="10" width="21.109375" style="3" customWidth="1"/>
    <col min="11" max="11" width="33.21875" style="4" customWidth="1"/>
    <col min="12" max="12" width="1.77734375" style="11" customWidth="1"/>
    <col min="13" max="16384" width="9.109375" style="11"/>
  </cols>
  <sheetData>
    <row r="1" spans="1:12" s="2" customFormat="1" ht="12" customHeight="1" thickBot="1">
      <c r="A1" s="1"/>
      <c r="B1" s="3"/>
      <c r="C1" s="4"/>
      <c r="D1" s="3"/>
      <c r="E1" s="4"/>
      <c r="F1" s="3"/>
      <c r="G1" s="3"/>
      <c r="H1" s="5"/>
      <c r="I1" s="5"/>
      <c r="J1" s="5"/>
      <c r="K1" s="6"/>
      <c r="L1" s="1" t="s">
        <v>19</v>
      </c>
    </row>
    <row r="2" spans="1:12" s="10" customFormat="1" ht="71.25" customHeight="1" thickTop="1" thickBot="1">
      <c r="B2" s="55"/>
      <c r="C2" s="55"/>
      <c r="D2" s="56"/>
      <c r="E2" s="56"/>
      <c r="F2" s="56"/>
      <c r="G2" s="57"/>
      <c r="H2" s="57"/>
      <c r="I2" s="55"/>
      <c r="J2" s="56"/>
      <c r="K2" s="56"/>
    </row>
    <row r="3" spans="1:12" s="2" customFormat="1" ht="21" customHeight="1" thickTop="1">
      <c r="A3" s="1"/>
      <c r="B3" s="3"/>
      <c r="C3" s="4"/>
      <c r="D3" s="3"/>
      <c r="E3" s="4"/>
      <c r="F3" s="3"/>
      <c r="G3" s="3"/>
      <c r="H3" s="5"/>
      <c r="I3" s="5"/>
      <c r="J3" s="5"/>
      <c r="K3" s="6"/>
      <c r="L3" s="1"/>
    </row>
    <row r="4" spans="1:12" s="22" customFormat="1" ht="38.1" customHeight="1">
      <c r="B4" s="50" t="s">
        <v>93</v>
      </c>
      <c r="C4" s="43" t="s">
        <v>48</v>
      </c>
      <c r="D4" s="43" t="s">
        <v>51</v>
      </c>
      <c r="E4" s="43" t="s">
        <v>52</v>
      </c>
      <c r="F4" s="43" t="s">
        <v>55</v>
      </c>
      <c r="G4" s="43" t="s">
        <v>11</v>
      </c>
      <c r="H4" s="43" t="s">
        <v>57</v>
      </c>
      <c r="I4" s="43" t="s">
        <v>58</v>
      </c>
      <c r="J4" s="43" t="s">
        <v>59</v>
      </c>
      <c r="K4" s="44" t="s">
        <v>60</v>
      </c>
    </row>
    <row r="5" spans="1:12" ht="21" customHeight="1">
      <c r="B5" s="14" t="s">
        <v>47</v>
      </c>
      <c r="C5" s="4" t="s">
        <v>49</v>
      </c>
      <c r="D5" s="12">
        <f ca="1">TODAY()</f>
        <v>46095</v>
      </c>
      <c r="E5" s="6" t="s">
        <v>53</v>
      </c>
      <c r="F5" s="70">
        <v>8.7499999999999994E-2</v>
      </c>
      <c r="G5" s="71">
        <v>100</v>
      </c>
      <c r="H5" s="71">
        <v>100</v>
      </c>
      <c r="I5" s="71">
        <f>SUMIF(DetallesDeLaFactura[N.º de factura],"="&amp;FacturasPrincipales[[#This Row],[N.º de factura]],DetallesDeLaFactura[Total])</f>
        <v>2660</v>
      </c>
      <c r="J5" s="71">
        <f>(FacturasPrincipales[[#This Row],[Total de detalles]]*(1+FacturasPrincipales[[#This Row],[Tipo de impuesto]]))+FacturasPrincipales[[#This Row],[Otros]]-FacturasPrincipales[[#This Row],[Depósito]]</f>
        <v>2892.7499999999995</v>
      </c>
    </row>
    <row r="6" spans="1:12" ht="21" customHeight="1">
      <c r="B6" s="14" t="s">
        <v>17</v>
      </c>
      <c r="C6" s="4" t="s">
        <v>50</v>
      </c>
      <c r="D6" s="12">
        <f ca="1">TODAY()+10</f>
        <v>46105</v>
      </c>
      <c r="E6" s="6" t="s">
        <v>54</v>
      </c>
      <c r="F6" s="70">
        <v>8.7499999999999994E-2</v>
      </c>
      <c r="G6" s="71"/>
      <c r="H6" s="71"/>
      <c r="I6" s="71">
        <f>SUMIF(DetallesDeLaFactura[N.º de factura],"="&amp;FacturasPrincipales[[#This Row],[N.º de factura]],DetallesDeLaFactura[Total])</f>
        <v>2014</v>
      </c>
      <c r="J6" s="71">
        <f>(FacturasPrincipales[[#This Row],[Total de detalles]]*(1+FacturasPrincipales[[#This Row],[Tipo de impuesto]]))+FacturasPrincipales[[#This Row],[Otros]]-FacturasPrincipales[[#This Row],[Depósito]]</f>
        <v>2190.2249999999999</v>
      </c>
    </row>
    <row r="7" spans="1:12" s="18" customFormat="1" ht="21" customHeight="1">
      <c r="B7" s="15" t="str">
        <f>"Facturas totales: "&amp;SUBTOTAL(103,FacturasPrincipales[N.º de factura])</f>
        <v>Facturas totales: 2</v>
      </c>
      <c r="C7" s="19"/>
      <c r="D7" s="19"/>
      <c r="E7" s="19"/>
      <c r="F7" s="18" t="s">
        <v>56</v>
      </c>
      <c r="G7" s="72">
        <f>SUBTOTAL(109,FacturasPrincipales[Otros])</f>
        <v>100</v>
      </c>
      <c r="H7" s="72">
        <f>SUBTOTAL(109,FacturasPrincipales[Depósito])</f>
        <v>100</v>
      </c>
      <c r="I7" s="72">
        <f>SUBTOTAL(109,FacturasPrincipales[Total de detalles])</f>
        <v>4674</v>
      </c>
      <c r="J7" s="72">
        <f>SUBTOTAL(109,FacturasPrincipales[Total de la factura])</f>
        <v>5082.9749999999995</v>
      </c>
    </row>
  </sheetData>
  <sheetProtection formatCells="0" formatColumns="0" formatRows="0" insertRows="0" insertHyperlinks="0" deleteRows="0" selectLockedCells="1" sort="0" autoFilter="0" pivotTables="0"/>
  <phoneticPr fontId="29" type="noConversion"/>
  <conditionalFormatting sqref="B5:B6">
    <cfRule type="duplicateValues" dxfId="1" priority="53"/>
  </conditionalFormatting>
  <dataValidations count="3">
    <dataValidation type="list" allowBlank="1" showInputMessage="1" showErrorMessage="1" sqref="C5:C6" xr:uid="{00000000-0002-0000-0200-000000000000}">
      <formula1>CustomerLookup</formula1>
    </dataValidation>
    <dataValidation allowBlank="1" showInputMessage="1" showErrorMessage="1" prompt="Escriba la información principal para cada una de las facturas en esta pestaña. _x000a__x000a_El número de factura debe ser único para cada fila." sqref="A1" xr:uid="{00000000-0002-0000-0200-000001000000}"/>
    <dataValidation allowBlank="1" showInputMessage="1" showErrorMessage="1" prompt="Todos los números de factura deben ser únicos._x000a__x000a_Las entradas duplicadas se resaltan con una fuente de color rojo." sqref="B4" xr:uid="{00000000-0002-0000-0200-000002000000}"/>
  </dataValidations>
  <printOptions horizontalCentered="1"/>
  <pageMargins left="0.3" right="0.3" top="0" bottom="0.3" header="0" footer="0.3"/>
  <pageSetup paperSize="9" scale="39" orientation="portrait" horizontalDpi="300" verticalDpi="300" r:id="rId1"/>
  <headerFooter differentFirst="1" alignWithMargins="0">
    <oddFooter>Page &amp;P of &amp;N</oddFooter>
  </headerFooter>
  <ignoredErrors>
    <ignoredError sqref="J6" emptyCellReference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autoPageBreaks="0" fitToPage="1"/>
  </sheetPr>
  <dimension ref="A1:K36"/>
  <sheetViews>
    <sheetView showGridLines="0" zoomScaleNormal="100" workbookViewId="0">
      <pane ySplit="4" topLeftCell="A23" activePane="bottomLeft" state="frozen"/>
      <selection pane="bottomLeft" activeCell="B23" sqref="B23"/>
    </sheetView>
  </sheetViews>
  <sheetFormatPr baseColWidth="10" defaultColWidth="9.109375" defaultRowHeight="21" customHeight="1"/>
  <cols>
    <col min="1" max="1" width="1.77734375" style="3" customWidth="1"/>
    <col min="2" max="2" width="24.77734375" style="4" customWidth="1"/>
    <col min="3" max="4" width="17.33203125" style="3" customWidth="1"/>
    <col min="5" max="5" width="12.77734375" style="3" customWidth="1"/>
    <col min="6" max="6" width="20.109375" style="3" customWidth="1"/>
    <col min="7" max="8" width="12.77734375" style="3" customWidth="1"/>
    <col min="9" max="9" width="1.77734375" style="3" customWidth="1"/>
    <col min="10" max="16384" width="9.109375" style="3"/>
  </cols>
  <sheetData>
    <row r="1" spans="1:11" ht="12" customHeight="1" thickBot="1">
      <c r="A1" s="5"/>
      <c r="H1" s="5"/>
      <c r="I1" s="5" t="s">
        <v>19</v>
      </c>
      <c r="J1" s="5"/>
      <c r="K1" s="5"/>
    </row>
    <row r="2" spans="1:11" s="10" customFormat="1" ht="71.25" customHeight="1" thickTop="1" thickBot="1">
      <c r="B2" s="55"/>
      <c r="C2" s="55"/>
      <c r="D2" s="56"/>
      <c r="E2" s="56"/>
      <c r="F2" s="56"/>
      <c r="G2" s="57"/>
      <c r="H2" s="57"/>
    </row>
    <row r="3" spans="1:11" ht="21" customHeight="1" thickTop="1"/>
    <row r="4" spans="1:11" s="23" customFormat="1" ht="38.1" customHeight="1">
      <c r="B4" s="50" t="s">
        <v>6</v>
      </c>
      <c r="C4" s="43" t="s">
        <v>93</v>
      </c>
      <c r="D4" s="43" t="s">
        <v>106</v>
      </c>
      <c r="E4" s="43" t="s">
        <v>8</v>
      </c>
      <c r="F4" s="43" t="s">
        <v>9</v>
      </c>
      <c r="G4" s="43" t="s">
        <v>16</v>
      </c>
      <c r="H4" s="44" t="s">
        <v>21</v>
      </c>
    </row>
    <row r="5" spans="1:11" ht="21" customHeight="1">
      <c r="B5" s="6" t="s">
        <v>61</v>
      </c>
      <c r="C5" s="5" t="s">
        <v>47</v>
      </c>
      <c r="D5" s="5">
        <v>1</v>
      </c>
      <c r="E5" s="3">
        <v>1</v>
      </c>
      <c r="F5" s="71">
        <v>1</v>
      </c>
      <c r="G5" s="71">
        <v>1</v>
      </c>
      <c r="H5" s="71">
        <f>(DetallesDeLaFactura[[#This Row],[Cant.]]*DetallesDeLaFactura[[#This Row],[Precio por unidad]])-DetallesDeLaFactura[[#This Row],[Descuento]]</f>
        <v>0</v>
      </c>
    </row>
    <row r="6" spans="1:11" ht="21" customHeight="1">
      <c r="B6" s="6" t="s">
        <v>62</v>
      </c>
      <c r="C6" s="5" t="s">
        <v>47</v>
      </c>
      <c r="D6" s="5">
        <v>2</v>
      </c>
      <c r="E6" s="3">
        <v>2</v>
      </c>
      <c r="F6" s="71">
        <v>2</v>
      </c>
      <c r="G6" s="71">
        <v>2</v>
      </c>
      <c r="H6" s="71">
        <f>(DetallesDeLaFactura[[#This Row],[Cant.]]*DetallesDeLaFactura[[#This Row],[Precio por unidad]])-DetallesDeLaFactura[[#This Row],[Descuento]]</f>
        <v>2</v>
      </c>
    </row>
    <row r="7" spans="1:11" ht="21" customHeight="1">
      <c r="B7" s="6" t="s">
        <v>63</v>
      </c>
      <c r="C7" s="5" t="s">
        <v>47</v>
      </c>
      <c r="D7" s="5">
        <v>3</v>
      </c>
      <c r="E7" s="3">
        <v>3</v>
      </c>
      <c r="F7" s="71">
        <v>3</v>
      </c>
      <c r="G7" s="71">
        <v>3</v>
      </c>
      <c r="H7" s="71">
        <f>(DetallesDeLaFactura[[#This Row],[Cant.]]*DetallesDeLaFactura[[#This Row],[Precio por unidad]])-DetallesDeLaFactura[[#This Row],[Descuento]]</f>
        <v>6</v>
      </c>
    </row>
    <row r="8" spans="1:11" ht="21" customHeight="1">
      <c r="B8" s="6" t="s">
        <v>64</v>
      </c>
      <c r="C8" s="5" t="s">
        <v>47</v>
      </c>
      <c r="D8" s="5">
        <v>4</v>
      </c>
      <c r="E8" s="3">
        <v>4</v>
      </c>
      <c r="F8" s="71">
        <v>4</v>
      </c>
      <c r="G8" s="71">
        <v>4</v>
      </c>
      <c r="H8" s="71">
        <f>(DetallesDeLaFactura[[#This Row],[Cant.]]*DetallesDeLaFactura[[#This Row],[Precio por unidad]])-DetallesDeLaFactura[[#This Row],[Descuento]]</f>
        <v>12</v>
      </c>
    </row>
    <row r="9" spans="1:11" ht="21" customHeight="1">
      <c r="B9" s="6" t="s">
        <v>65</v>
      </c>
      <c r="C9" s="5" t="s">
        <v>47</v>
      </c>
      <c r="D9" s="5">
        <v>5</v>
      </c>
      <c r="E9" s="3">
        <v>5</v>
      </c>
      <c r="F9" s="71">
        <v>5</v>
      </c>
      <c r="G9" s="71">
        <v>5</v>
      </c>
      <c r="H9" s="71">
        <f>(DetallesDeLaFactura[[#This Row],[Cant.]]*DetallesDeLaFactura[[#This Row],[Precio por unidad]])-DetallesDeLaFactura[[#This Row],[Descuento]]</f>
        <v>20</v>
      </c>
    </row>
    <row r="10" spans="1:11" ht="21" customHeight="1">
      <c r="B10" s="6" t="s">
        <v>66</v>
      </c>
      <c r="C10" s="5" t="s">
        <v>47</v>
      </c>
      <c r="D10" s="5">
        <v>6</v>
      </c>
      <c r="E10" s="3">
        <v>6</v>
      </c>
      <c r="F10" s="71">
        <v>6</v>
      </c>
      <c r="G10" s="71">
        <v>6</v>
      </c>
      <c r="H10" s="71">
        <f>(DetallesDeLaFactura[[#This Row],[Cant.]]*DetallesDeLaFactura[[#This Row],[Precio por unidad]])-DetallesDeLaFactura[[#This Row],[Descuento]]</f>
        <v>30</v>
      </c>
    </row>
    <row r="11" spans="1:11" ht="21" customHeight="1">
      <c r="B11" s="6" t="s">
        <v>67</v>
      </c>
      <c r="C11" s="5" t="s">
        <v>47</v>
      </c>
      <c r="D11" s="5">
        <v>7</v>
      </c>
      <c r="E11" s="3">
        <v>7</v>
      </c>
      <c r="F11" s="71">
        <v>7</v>
      </c>
      <c r="G11" s="71">
        <v>7</v>
      </c>
      <c r="H11" s="71">
        <f>(DetallesDeLaFactura[[#This Row],[Cant.]]*DetallesDeLaFactura[[#This Row],[Precio por unidad]])-DetallesDeLaFactura[[#This Row],[Descuento]]</f>
        <v>42</v>
      </c>
    </row>
    <row r="12" spans="1:11" ht="21" customHeight="1">
      <c r="B12" s="6" t="s">
        <v>68</v>
      </c>
      <c r="C12" s="5" t="s">
        <v>47</v>
      </c>
      <c r="D12" s="5">
        <v>8</v>
      </c>
      <c r="E12" s="3">
        <v>8</v>
      </c>
      <c r="F12" s="71">
        <v>8</v>
      </c>
      <c r="G12" s="71">
        <v>8</v>
      </c>
      <c r="H12" s="71">
        <f>(DetallesDeLaFactura[[#This Row],[Cant.]]*DetallesDeLaFactura[[#This Row],[Precio por unidad]])-DetallesDeLaFactura[[#This Row],[Descuento]]</f>
        <v>56</v>
      </c>
    </row>
    <row r="13" spans="1:11" ht="21" customHeight="1">
      <c r="B13" s="6" t="s">
        <v>69</v>
      </c>
      <c r="C13" s="5" t="s">
        <v>47</v>
      </c>
      <c r="D13" s="5">
        <v>9</v>
      </c>
      <c r="E13" s="3">
        <v>9</v>
      </c>
      <c r="F13" s="71">
        <v>9</v>
      </c>
      <c r="G13" s="71">
        <v>9</v>
      </c>
      <c r="H13" s="71">
        <f>(DetallesDeLaFactura[[#This Row],[Cant.]]*DetallesDeLaFactura[[#This Row],[Precio por unidad]])-DetallesDeLaFactura[[#This Row],[Descuento]]</f>
        <v>72</v>
      </c>
    </row>
    <row r="14" spans="1:11" ht="21" customHeight="1">
      <c r="B14" s="6" t="s">
        <v>70</v>
      </c>
      <c r="C14" s="5" t="s">
        <v>47</v>
      </c>
      <c r="D14" s="5">
        <v>10</v>
      </c>
      <c r="E14" s="3">
        <v>10</v>
      </c>
      <c r="F14" s="71">
        <v>10</v>
      </c>
      <c r="G14" s="71">
        <v>10</v>
      </c>
      <c r="H14" s="71">
        <f>(DetallesDeLaFactura[[#This Row],[Cant.]]*DetallesDeLaFactura[[#This Row],[Precio por unidad]])-DetallesDeLaFactura[[#This Row],[Descuento]]</f>
        <v>90</v>
      </c>
    </row>
    <row r="15" spans="1:11" ht="21" customHeight="1">
      <c r="B15" s="6" t="s">
        <v>71</v>
      </c>
      <c r="C15" s="5" t="s">
        <v>47</v>
      </c>
      <c r="D15" s="5">
        <v>11</v>
      </c>
      <c r="E15" s="3">
        <v>11</v>
      </c>
      <c r="F15" s="71">
        <v>11</v>
      </c>
      <c r="G15" s="71">
        <v>11</v>
      </c>
      <c r="H15" s="71">
        <f>(DetallesDeLaFactura[[#This Row],[Cant.]]*DetallesDeLaFactura[[#This Row],[Precio por unidad]])-DetallesDeLaFactura[[#This Row],[Descuento]]</f>
        <v>110</v>
      </c>
    </row>
    <row r="16" spans="1:11" ht="21" customHeight="1">
      <c r="B16" s="6" t="s">
        <v>72</v>
      </c>
      <c r="C16" s="5" t="s">
        <v>47</v>
      </c>
      <c r="D16" s="5">
        <v>12</v>
      </c>
      <c r="E16" s="3">
        <v>12</v>
      </c>
      <c r="F16" s="71">
        <v>12</v>
      </c>
      <c r="G16" s="71">
        <v>12</v>
      </c>
      <c r="H16" s="71">
        <f>(DetallesDeLaFactura[[#This Row],[Cant.]]*DetallesDeLaFactura[[#This Row],[Precio por unidad]])-DetallesDeLaFactura[[#This Row],[Descuento]]</f>
        <v>132</v>
      </c>
    </row>
    <row r="17" spans="2:8" ht="21" customHeight="1">
      <c r="B17" s="6" t="s">
        <v>73</v>
      </c>
      <c r="C17" s="5" t="s">
        <v>47</v>
      </c>
      <c r="D17" s="5">
        <v>13</v>
      </c>
      <c r="E17" s="3">
        <v>13</v>
      </c>
      <c r="F17" s="71">
        <v>13</v>
      </c>
      <c r="G17" s="71">
        <v>13</v>
      </c>
      <c r="H17" s="71">
        <f>(DetallesDeLaFactura[[#This Row],[Cant.]]*DetallesDeLaFactura[[#This Row],[Precio por unidad]])-DetallesDeLaFactura[[#This Row],[Descuento]]</f>
        <v>156</v>
      </c>
    </row>
    <row r="18" spans="2:8" ht="21" customHeight="1">
      <c r="B18" s="6" t="s">
        <v>74</v>
      </c>
      <c r="C18" s="5" t="s">
        <v>47</v>
      </c>
      <c r="D18" s="5">
        <v>14</v>
      </c>
      <c r="E18" s="3">
        <v>14</v>
      </c>
      <c r="F18" s="71">
        <v>14</v>
      </c>
      <c r="G18" s="71">
        <v>14</v>
      </c>
      <c r="H18" s="71">
        <f>(DetallesDeLaFactura[[#This Row],[Cant.]]*DetallesDeLaFactura[[#This Row],[Precio por unidad]])-DetallesDeLaFactura[[#This Row],[Descuento]]</f>
        <v>182</v>
      </c>
    </row>
    <row r="19" spans="2:8" ht="21" customHeight="1">
      <c r="B19" s="6" t="s">
        <v>75</v>
      </c>
      <c r="C19" s="5" t="s">
        <v>47</v>
      </c>
      <c r="D19" s="5">
        <v>15</v>
      </c>
      <c r="E19" s="3">
        <v>15</v>
      </c>
      <c r="F19" s="71">
        <v>15</v>
      </c>
      <c r="G19" s="71">
        <v>15</v>
      </c>
      <c r="H19" s="71">
        <f>(DetallesDeLaFactura[[#This Row],[Cant.]]*DetallesDeLaFactura[[#This Row],[Precio por unidad]])-DetallesDeLaFactura[[#This Row],[Descuento]]</f>
        <v>210</v>
      </c>
    </row>
    <row r="20" spans="2:8" ht="21" customHeight="1">
      <c r="B20" s="6" t="s">
        <v>76</v>
      </c>
      <c r="C20" s="5" t="s">
        <v>47</v>
      </c>
      <c r="D20" s="5">
        <v>16</v>
      </c>
      <c r="E20" s="3">
        <v>16</v>
      </c>
      <c r="F20" s="71">
        <v>16</v>
      </c>
      <c r="G20" s="71">
        <v>16</v>
      </c>
      <c r="H20" s="71">
        <f>(DetallesDeLaFactura[[#This Row],[Cant.]]*DetallesDeLaFactura[[#This Row],[Precio por unidad]])-DetallesDeLaFactura[[#This Row],[Descuento]]</f>
        <v>240</v>
      </c>
    </row>
    <row r="21" spans="2:8" ht="21" customHeight="1">
      <c r="B21" s="6" t="s">
        <v>77</v>
      </c>
      <c r="C21" s="5" t="s">
        <v>47</v>
      </c>
      <c r="D21" s="5">
        <v>17</v>
      </c>
      <c r="E21" s="3">
        <v>17</v>
      </c>
      <c r="F21" s="71">
        <v>17</v>
      </c>
      <c r="G21" s="71">
        <v>17</v>
      </c>
      <c r="H21" s="71">
        <f>(DetallesDeLaFactura[[#This Row],[Cant.]]*DetallesDeLaFactura[[#This Row],[Precio por unidad]])-DetallesDeLaFactura[[#This Row],[Descuento]]</f>
        <v>272</v>
      </c>
    </row>
    <row r="22" spans="2:8" ht="21" customHeight="1">
      <c r="B22" s="6" t="s">
        <v>78</v>
      </c>
      <c r="C22" s="5" t="s">
        <v>47</v>
      </c>
      <c r="D22" s="5">
        <v>18</v>
      </c>
      <c r="E22" s="3">
        <v>18</v>
      </c>
      <c r="F22" s="71">
        <v>18</v>
      </c>
      <c r="G22" s="71">
        <v>18</v>
      </c>
      <c r="H22" s="71">
        <f>(DetallesDeLaFactura[[#This Row],[Cant.]]*DetallesDeLaFactura[[#This Row],[Precio por unidad]])-DetallesDeLaFactura[[#This Row],[Descuento]]</f>
        <v>306</v>
      </c>
    </row>
    <row r="23" spans="2:8" ht="21" customHeight="1">
      <c r="B23" s="6" t="s">
        <v>79</v>
      </c>
      <c r="C23" s="5" t="s">
        <v>47</v>
      </c>
      <c r="D23" s="5">
        <v>19</v>
      </c>
      <c r="E23" s="3">
        <v>19</v>
      </c>
      <c r="F23" s="71">
        <v>19</v>
      </c>
      <c r="G23" s="71">
        <v>19</v>
      </c>
      <c r="H23" s="71">
        <f>(DetallesDeLaFactura[[#This Row],[Cant.]]*DetallesDeLaFactura[[#This Row],[Precio por unidad]])-DetallesDeLaFactura[[#This Row],[Descuento]]</f>
        <v>342</v>
      </c>
    </row>
    <row r="24" spans="2:8" ht="21" customHeight="1">
      <c r="B24" s="6" t="s">
        <v>80</v>
      </c>
      <c r="C24" s="5" t="s">
        <v>47</v>
      </c>
      <c r="D24" s="5">
        <v>20</v>
      </c>
      <c r="E24" s="3">
        <v>20</v>
      </c>
      <c r="F24" s="71">
        <v>20</v>
      </c>
      <c r="G24" s="71">
        <v>20</v>
      </c>
      <c r="H24" s="71">
        <f>(DetallesDeLaFactura[[#This Row],[Cant.]]*DetallesDeLaFactura[[#This Row],[Precio por unidad]])-DetallesDeLaFactura[[#This Row],[Descuento]]</f>
        <v>380</v>
      </c>
    </row>
    <row r="25" spans="2:8" ht="21" customHeight="1">
      <c r="B25" s="6" t="s">
        <v>81</v>
      </c>
      <c r="C25" s="5" t="s">
        <v>17</v>
      </c>
      <c r="D25" s="5" t="s">
        <v>94</v>
      </c>
      <c r="E25" s="3">
        <v>39</v>
      </c>
      <c r="F25" s="71">
        <v>5</v>
      </c>
      <c r="G25" s="71"/>
      <c r="H25" s="71">
        <f>(DetallesDeLaFactura[[#This Row],[Cant.]]*DetallesDeLaFactura[[#This Row],[Precio por unidad]])-DetallesDeLaFactura[[#This Row],[Descuento]]</f>
        <v>195</v>
      </c>
    </row>
    <row r="26" spans="2:8" ht="21" customHeight="1">
      <c r="B26" s="6" t="s">
        <v>82</v>
      </c>
      <c r="C26" s="5" t="s">
        <v>17</v>
      </c>
      <c r="D26" s="5" t="s">
        <v>95</v>
      </c>
      <c r="E26" s="3">
        <v>40</v>
      </c>
      <c r="F26" s="71">
        <v>4</v>
      </c>
      <c r="G26" s="71">
        <v>5</v>
      </c>
      <c r="H26" s="71">
        <f>(DetallesDeLaFactura[[#This Row],[Cant.]]*DetallesDeLaFactura[[#This Row],[Precio por unidad]])-DetallesDeLaFactura[[#This Row],[Descuento]]</f>
        <v>155</v>
      </c>
    </row>
    <row r="27" spans="2:8" ht="21" customHeight="1">
      <c r="B27" s="6" t="s">
        <v>83</v>
      </c>
      <c r="C27" s="5" t="s">
        <v>17</v>
      </c>
      <c r="D27" s="5" t="s">
        <v>96</v>
      </c>
      <c r="E27" s="3">
        <v>30</v>
      </c>
      <c r="F27" s="71">
        <v>6</v>
      </c>
      <c r="G27" s="71">
        <v>7</v>
      </c>
      <c r="H27" s="71">
        <f>(DetallesDeLaFactura[[#This Row],[Cant.]]*DetallesDeLaFactura[[#This Row],[Precio por unidad]])-DetallesDeLaFactura[[#This Row],[Descuento]]</f>
        <v>173</v>
      </c>
    </row>
    <row r="28" spans="2:8" ht="21" customHeight="1">
      <c r="B28" s="6" t="s">
        <v>84</v>
      </c>
      <c r="C28" s="5" t="s">
        <v>17</v>
      </c>
      <c r="D28" s="5" t="s">
        <v>97</v>
      </c>
      <c r="E28" s="3">
        <v>40</v>
      </c>
      <c r="F28" s="71">
        <v>7</v>
      </c>
      <c r="G28" s="71"/>
      <c r="H28" s="71">
        <f>(DetallesDeLaFactura[[#This Row],[Cant.]]*DetallesDeLaFactura[[#This Row],[Precio por unidad]])-DetallesDeLaFactura[[#This Row],[Descuento]]</f>
        <v>280</v>
      </c>
    </row>
    <row r="29" spans="2:8" ht="21" customHeight="1">
      <c r="B29" s="6" t="s">
        <v>85</v>
      </c>
      <c r="C29" s="5" t="s">
        <v>17</v>
      </c>
      <c r="D29" s="5" t="s">
        <v>98</v>
      </c>
      <c r="E29" s="3">
        <v>10</v>
      </c>
      <c r="F29" s="71">
        <v>4</v>
      </c>
      <c r="G29" s="71"/>
      <c r="H29" s="71">
        <f>(DetallesDeLaFactura[[#This Row],[Cant.]]*DetallesDeLaFactura[[#This Row],[Precio por unidad]])-DetallesDeLaFactura[[#This Row],[Descuento]]</f>
        <v>40</v>
      </c>
    </row>
    <row r="30" spans="2:8" ht="21" customHeight="1">
      <c r="B30" s="6" t="s">
        <v>86</v>
      </c>
      <c r="C30" s="5" t="s">
        <v>17</v>
      </c>
      <c r="D30" s="5" t="s">
        <v>99</v>
      </c>
      <c r="E30" s="3">
        <v>5</v>
      </c>
      <c r="F30" s="71">
        <v>8</v>
      </c>
      <c r="G30" s="71"/>
      <c r="H30" s="71">
        <f>(DetallesDeLaFactura[[#This Row],[Cant.]]*DetallesDeLaFactura[[#This Row],[Precio por unidad]])-DetallesDeLaFactura[[#This Row],[Descuento]]</f>
        <v>40</v>
      </c>
    </row>
    <row r="31" spans="2:8" ht="21" customHeight="1">
      <c r="B31" s="6" t="s">
        <v>87</v>
      </c>
      <c r="C31" s="5" t="s">
        <v>17</v>
      </c>
      <c r="D31" s="5" t="s">
        <v>100</v>
      </c>
      <c r="E31" s="3">
        <v>70</v>
      </c>
      <c r="F31" s="71">
        <v>6</v>
      </c>
      <c r="G31" s="71"/>
      <c r="H31" s="71">
        <f>(DetallesDeLaFactura[[#This Row],[Cant.]]*DetallesDeLaFactura[[#This Row],[Precio por unidad]])-DetallesDeLaFactura[[#This Row],[Descuento]]</f>
        <v>420</v>
      </c>
    </row>
    <row r="32" spans="2:8" ht="21" customHeight="1">
      <c r="B32" s="6" t="s">
        <v>88</v>
      </c>
      <c r="C32" s="5" t="s">
        <v>17</v>
      </c>
      <c r="D32" s="5" t="s">
        <v>101</v>
      </c>
      <c r="E32" s="3">
        <v>25</v>
      </c>
      <c r="F32" s="71">
        <v>4</v>
      </c>
      <c r="G32" s="71"/>
      <c r="H32" s="71">
        <f>(DetallesDeLaFactura[[#This Row],[Cant.]]*DetallesDeLaFactura[[#This Row],[Precio por unidad]])-DetallesDeLaFactura[[#This Row],[Descuento]]</f>
        <v>100</v>
      </c>
    </row>
    <row r="33" spans="2:8" ht="21" customHeight="1">
      <c r="B33" s="6" t="s">
        <v>89</v>
      </c>
      <c r="C33" s="5" t="s">
        <v>17</v>
      </c>
      <c r="D33" s="5" t="s">
        <v>102</v>
      </c>
      <c r="E33" s="3">
        <v>5</v>
      </c>
      <c r="F33" s="71">
        <v>7</v>
      </c>
      <c r="G33" s="71">
        <v>3</v>
      </c>
      <c r="H33" s="71">
        <f>(DetallesDeLaFactura[[#This Row],[Cant.]]*DetallesDeLaFactura[[#This Row],[Precio por unidad]])-DetallesDeLaFactura[[#This Row],[Descuento]]</f>
        <v>32</v>
      </c>
    </row>
    <row r="34" spans="2:8" ht="21" customHeight="1">
      <c r="B34" s="6" t="s">
        <v>90</v>
      </c>
      <c r="C34" s="5" t="s">
        <v>17</v>
      </c>
      <c r="D34" s="5" t="s">
        <v>103</v>
      </c>
      <c r="E34" s="3">
        <v>80</v>
      </c>
      <c r="F34" s="71">
        <v>1</v>
      </c>
      <c r="G34" s="71"/>
      <c r="H34" s="71">
        <f>(DetallesDeLaFactura[[#This Row],[Cant.]]*DetallesDeLaFactura[[#This Row],[Precio por unidad]])-DetallesDeLaFactura[[#This Row],[Descuento]]</f>
        <v>80</v>
      </c>
    </row>
    <row r="35" spans="2:8" ht="21" customHeight="1">
      <c r="B35" s="6" t="s">
        <v>91</v>
      </c>
      <c r="C35" s="5" t="s">
        <v>17</v>
      </c>
      <c r="D35" s="5" t="s">
        <v>104</v>
      </c>
      <c r="E35" s="3">
        <v>65</v>
      </c>
      <c r="F35" s="71">
        <v>7</v>
      </c>
      <c r="G35" s="71"/>
      <c r="H35" s="71">
        <f>(DetallesDeLaFactura[[#This Row],[Cant.]]*DetallesDeLaFactura[[#This Row],[Precio por unidad]])-DetallesDeLaFactura[[#This Row],[Descuento]]</f>
        <v>455</v>
      </c>
    </row>
    <row r="36" spans="2:8" ht="21" customHeight="1">
      <c r="B36" s="6" t="s">
        <v>92</v>
      </c>
      <c r="C36" s="5" t="s">
        <v>17</v>
      </c>
      <c r="D36" s="5" t="s">
        <v>105</v>
      </c>
      <c r="E36" s="3">
        <v>44</v>
      </c>
      <c r="F36" s="71">
        <v>1</v>
      </c>
      <c r="G36" s="71"/>
      <c r="H36" s="71">
        <f>(DetallesDeLaFactura[[#This Row],[Cant.]]*DetallesDeLaFactura[[#This Row],[Precio por unidad]])-DetallesDeLaFactura[[#This Row],[Descuento]]</f>
        <v>44</v>
      </c>
    </row>
  </sheetData>
  <sheetProtection formatCells="0" formatColumns="0" formatRows="0" insertRows="0" deleteRows="0" selectLockedCells="1" sort="0" autoFilter="0" pivotTables="0"/>
  <phoneticPr fontId="29" type="noConversion"/>
  <conditionalFormatting sqref="C5:C36">
    <cfRule type="expression" dxfId="0" priority="55">
      <formula>COUNTIF($C$5:$C$36,C5)&gt;20</formula>
    </cfRule>
  </conditionalFormatting>
  <dataValidations count="3">
    <dataValidation type="list" allowBlank="1" showInputMessage="1" showErrorMessage="1" errorTitle="Datos no válidos" error="Seleccione una factura de esta lista. Si no se muestra el n.º de su factura, compruebe la hoja de cálculo llamada Facturas: principal." sqref="C5:C36" xr:uid="{00000000-0002-0000-0300-000000000000}">
      <formula1>Invoice_No</formula1>
    </dataValidation>
    <dataValidation allowBlank="1" showInputMessage="1" showErrorMessage="1" prompt="Escriba los detalles de las facturas en esta pestaña._x000a__x000a_La columna C tiene una lista desplegable donde puede seleccionar el n.º de factura al que pertenece la información de fila._x000a__x000a_Agregue hasta 20 artículos por cada n.º de factura." sqref="A1" xr:uid="{00000000-0002-0000-0300-000001000000}"/>
    <dataValidation allowBlank="1" showInputMessage="1" showErrorMessage="1" prompt="Puede escribir hasta 20 entradas para cada n.º de factura._x000a__x000a_La fuente se volverá de color rojo si se supera este límite." sqref="C4" xr:uid="{00000000-0002-0000-0300-000002000000}"/>
  </dataValidations>
  <printOptions horizontalCentered="1"/>
  <pageMargins left="0.3" right="0.3" top="0" bottom="0.3" header="0" footer="0.3"/>
  <pageSetup paperSize="9" scale="66" orientation="portrait" horizontalDpi="300" verticalDpi="300" r:id="rId1"/>
  <headerFooter differentFirst="1" alignWithMargins="0">
    <oddFooter>Page &amp;P of &amp;N</oddFooter>
  </headerFooter>
  <ignoredErrors>
    <ignoredError sqref="H25:H36" emptyCellReference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291512c1ee715ab617f4c07df79fc1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8256c27c40ca5c40ce1cf6c44f0205df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92B3EB-0C06-46FF-93F5-BB77A2F41E1B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71af3243-3dd4-4a8d-8c0d-dd76da1f02a5"/>
    <ds:schemaRef ds:uri="http://schemas.microsoft.com/office/infopath/2007/PartnerControls"/>
    <ds:schemaRef ds:uri="http://schemas.openxmlformats.org/package/2006/metadata/core-properties"/>
    <ds:schemaRef ds:uri="16c05727-aa75-4e4a-9b5f-8a80a1165891"/>
  </ds:schemaRefs>
</ds:datastoreItem>
</file>

<file path=customXml/itemProps2.xml><?xml version="1.0" encoding="utf-8"?>
<ds:datastoreItem xmlns:ds="http://schemas.openxmlformats.org/officeDocument/2006/customXml" ds:itemID="{99D4EC7A-31BA-480A-87D4-3BB760C2E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B6E5EE-8E0A-47A2-B991-63975B2A4E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TM44992624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Factura</vt:lpstr>
      <vt:lpstr>Clientes</vt:lpstr>
      <vt:lpstr>Facturas - principales</vt:lpstr>
      <vt:lpstr>Detalles de la factura</vt:lpstr>
      <vt:lpstr>CustomerLookup</vt:lpstr>
      <vt:lpstr>Invoice_No</vt:lpstr>
      <vt:lpstr>NombreEmpresa</vt:lpstr>
      <vt:lpstr>rngInvoice</vt:lpstr>
      <vt:lpstr>Clientes!Títulos_a_imprimir</vt:lpstr>
      <vt:lpstr>'Detalles de la factura'!Títulos_a_imprimir</vt:lpstr>
      <vt:lpstr>'Facturas - principales'!Títulos_a_imprimir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2019-03-20T00:59:51Z</dcterms:created>
  <dcterms:modified xsi:type="dcterms:W3CDTF">2026-03-14T21:08:05Z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